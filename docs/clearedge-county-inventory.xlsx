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3"/>
    <sheet name="Summary" sheetId="2" state="visible" r:id="rId4"/>
    <sheet name="Legend &amp; sources" sheetId="3" state="visible" r:id="rId5"/>
  </sheets>
  <definedNames>
    <definedName function="false" hidden="true" localSheetId="0" name="_xlnm._FilterDatabase" vbProcedure="false">Inventory!$A$2:$AG$84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<sst xmlns="http://schemas.openxmlformats.org/spreadsheetml/2006/main" count="1467" uniqueCount="622">
  <si>
    <t xml:space="preserve">Geography</t>
  </si>
  <si>
    <t xml:space="preserve">Priority</t>
  </si>
  <si>
    <t xml:space="preserve">Market evidence</t>
  </si>
  <si>
    <t xml:space="preserve">Evidence quality</t>
  </si>
  <si>
    <t xml:space="preserve">Page plan</t>
  </si>
  <si>
    <t xml:space="preserve">State</t>
  </si>
  <si>
    <t xml:space="preserve">Region</t>
  </si>
  <si>
    <t xml:space="preserve">County / borough / statistical area</t>
  </si>
  <si>
    <t xml:space="preserve">GEOID (FIPS)</t>
  </si>
  <si>
    <t xml:space="preserve">Census geography name</t>
  </si>
  <si>
    <t xml:space="preserve">Record type</t>
  </si>
  <si>
    <t xml:space="preserve">Statistical areas attached / hub attached to</t>
  </si>
  <si>
    <t xml:space="preserve">Tier</t>
  </si>
  <si>
    <t xml:space="preserve">Rationale</t>
  </si>
  <si>
    <t xml:space="preserve">Build wave</t>
  </si>
  <si>
    <t xml:space="preserve">Page status</t>
  </si>
  <si>
    <t xml:space="preserve">Publish decision</t>
  </si>
  <si>
    <t xml:space="preserve">Population</t>
  </si>
  <si>
    <t xml:space="preserve">Median owner-occupied home value ($)</t>
  </si>
  <si>
    <t xml:space="preserve">Housing units (all)</t>
  </si>
  <si>
    <t xml:space="preserve">Occupied housing units</t>
  </si>
  <si>
    <t xml:space="preserve">Owner-occupied units</t>
  </si>
  <si>
    <t xml:space="preserve">Homeownership rate (owner ÷ occupied)</t>
  </si>
  <si>
    <t xml:space="preserve">Owner households age 65+</t>
  </si>
  <si>
    <t xml:space="preserve">Owners 65+ share</t>
  </si>
  <si>
    <t xml:space="preserve">1–4 unit share of all housing stock</t>
  </si>
  <si>
    <t xml:space="preserve">Median year built</t>
  </si>
  <si>
    <t xml:space="preserve">Median household income ($)</t>
  </si>
  <si>
    <t xml:space="preserve">Annual homes sold</t>
  </si>
  <si>
    <t xml:space="preserve">Investor purchase share</t>
  </si>
  <si>
    <t xml:space="preserve">Missing-data flags</t>
  </si>
  <si>
    <t xml:space="preserve">Source</t>
  </si>
  <si>
    <t xml:space="preserve">Measurement period</t>
  </si>
  <si>
    <t xml:space="preserve">Source URL</t>
  </si>
  <si>
    <t xml:space="preserve">Existing URLs (live sitemap)</t>
  </si>
  <si>
    <t xml:space="preserve">Proposed hub URL</t>
  </si>
  <si>
    <t xml:space="preserve">Parent hub</t>
  </si>
  <si>
    <t xml:space="preserve">Candidate city / neighborhood pages</t>
  </si>
  <si>
    <t xml:space="preserve">PA</t>
  </si>
  <si>
    <t xml:space="preserve">Lehigh Valley</t>
  </si>
  <si>
    <t xml:space="preserve">Lehigh County</t>
  </si>
  <si>
    <t xml:space="preserve">42077</t>
  </si>
  <si>
    <t xml:space="preserve">Lehigh County, PA</t>
  </si>
  <si>
    <t xml:space="preserve">page</t>
  </si>
  <si>
    <t xml:space="preserve">Existing core</t>
  </si>
  <si>
    <t xml:space="preserve">Existing footprint; Allentown pages already rank; attach to hierarchy, no URL moves</t>
  </si>
  <si>
    <t xml:space="preserve">Wave 1</t>
  </si>
  <si>
    <t xml:space="preserve">Existing pages (attach to hierarchy)</t>
  </si>
  <si>
    <t xml:space="preserve">Wave 1: create county record, attach existing pages, publish county hub only if it adds distinct value</t>
  </si>
  <si>
    <t xml:space="preserve">Annual homes sold not populated — source: Redfin Data Center county-level housing market download (homes sold, monthly); record period when filled; Investor purchase share not populated — Redfin/ATTOM investor data uses metro definitions; store only if the geography matches this row, else leave blank and note the metro figure in Rationale</t>
  </si>
  <si>
    <t xml:space="preserve">US Census Bureau ACS via Census Reporter</t>
  </si>
  <si>
    <t xml:space="preserve">ACS 2024 5-year (2020–2024)</t>
  </si>
  <si>
    <t xml:space="preserve">https://censusreporter.org/profiles/05000US42077/</t>
  </si>
  <si>
    <t xml:space="preserve">https://www.clearedgehomebuyers.com/locations/lehigh-valley; https://www.clearedgehomebuyers.com/locations/allentown</t>
  </si>
  <si>
    <t xml:space="preserve">https://www.clearedgehomebuyers.com/locations/pennsylvania/lehigh-county</t>
  </si>
  <si>
    <t xml:space="preserve">/locations/lehigh-valley</t>
  </si>
  <si>
    <t xml:space="preserve">Allentown (existing), Emmaus, Whitehall</t>
  </si>
  <si>
    <t xml:space="preserve">Northampton County</t>
  </si>
  <si>
    <t xml:space="preserve">42095</t>
  </si>
  <si>
    <t xml:space="preserve">Northampton County, PA</t>
  </si>
  <si>
    <t xml:space="preserve">Existing footprint; Bethlehem and Easton pages rank and produced attributed leads</t>
  </si>
  <si>
    <t xml:space="preserve">https://censusreporter.org/profiles/05000US42095/</t>
  </si>
  <si>
    <t xml:space="preserve">https://www.clearedgehomebuyers.com/locations/lehigh-valley; https://www.clearedgehomebuyers.com/locations/bethlehem; https://www.clearedgehomebuyers.com/locations/easton</t>
  </si>
  <si>
    <t xml:space="preserve">https://www.clearedgehomebuyers.com/locations/pennsylvania/northampton-county</t>
  </si>
  <si>
    <t xml:space="preserve">Bethlehem (existing), Easton (existing), Nazareth</t>
  </si>
  <si>
    <t xml:space="preserve">Berks</t>
  </si>
  <si>
    <t xml:space="preserve">Berks County</t>
  </si>
  <si>
    <t xml:space="preserve">42011</t>
  </si>
  <si>
    <t xml:space="preserve">Berks County, PA</t>
  </si>
  <si>
    <t xml:space="preserve">Existing footprint; Reading inherited page hit position 2 in week three</t>
  </si>
  <si>
    <t xml:space="preserve">https://censusreporter.org/profiles/05000US42011/</t>
  </si>
  <si>
    <t xml:space="preserve">https://www.clearedgehomebuyers.com/locations/reading</t>
  </si>
  <si>
    <t xml:space="preserve">https://www.clearedgehomebuyers.com/locations/pennsylvania/berks-county</t>
  </si>
  <si>
    <t xml:space="preserve">/locations/pennsylvania</t>
  </si>
  <si>
    <t xml:space="preserve">Reading (existing), Wyomissing, Boyertown</t>
  </si>
  <si>
    <t xml:space="preserve">NEPA</t>
  </si>
  <si>
    <t xml:space="preserve">Lackawanna County</t>
  </si>
  <si>
    <t xml:space="preserve">42069</t>
  </si>
  <si>
    <t xml:space="preserve">Lackawanna County, PA</t>
  </si>
  <si>
    <t xml:space="preserve">Existing footprint; Scranton cluster ranks; low price points limit fee size</t>
  </si>
  <si>
    <t xml:space="preserve">https://censusreporter.org/profiles/05000US42069/</t>
  </si>
  <si>
    <t xml:space="preserve">https://www.clearedgehomebuyers.com/locations/nepa; https://www.clearedgehomebuyers.com/locations/scranton; https://www.clearedgehomebuyers.com/locations/dunmore; https://www.clearedgehomebuyers.com/locations/carbondale</t>
  </si>
  <si>
    <t xml:space="preserve">https://www.clearedgehomebuyers.com/locations/pennsylvania/lackawanna-county</t>
  </si>
  <si>
    <t xml:space="preserve">/locations/nepa</t>
  </si>
  <si>
    <t xml:space="preserve">Scranton, Dunmore, Carbondale (all existing)</t>
  </si>
  <si>
    <t xml:space="preserve">Luzerne County</t>
  </si>
  <si>
    <t xml:space="preserve">42079</t>
  </si>
  <si>
    <t xml:space="preserve">Luzerne County, PA</t>
  </si>
  <si>
    <t xml:space="preserve">Existing footprint; five city pages live; low price points limit fee size</t>
  </si>
  <si>
    <t xml:space="preserve">https://censusreporter.org/profiles/05000US42079/</t>
  </si>
  <si>
    <t xml:space="preserve">https://www.clearedgehomebuyers.com/locations/nepa; https://www.clearedgehomebuyers.com/locations/wilkes-barre; https://www.clearedgehomebuyers.com/locations/kingston; https://www.clearedgehomebuyers.com/locations/nanticoke; https://www.clearedgehomebuyers.com/locations/pittston; https://www.clearedgehomebuyers.com/locations/hazleton</t>
  </si>
  <si>
    <t xml:space="preserve">https://www.clearedgehomebuyers.com/locations/pennsylvania/luzerne-county</t>
  </si>
  <si>
    <t xml:space="preserve">Wilkes-Barre, Kingston, Nanticoke, Pittston, Hazleton (all existing)</t>
  </si>
  <si>
    <t xml:space="preserve">Poconos</t>
  </si>
  <si>
    <t xml:space="preserve">Monroe County</t>
  </si>
  <si>
    <t xml:space="preserve">42089</t>
  </si>
  <si>
    <t xml:space="preserve">Monroe County, PA</t>
  </si>
  <si>
    <t xml:space="preserve">Existing footprint; four Pocono pages live; second-home and inherited-cabin demand</t>
  </si>
  <si>
    <t xml:space="preserve">https://censusreporter.org/profiles/05000US42089/</t>
  </si>
  <si>
    <t xml:space="preserve">https://www.clearedgehomebuyers.com/locations/poconos; https://www.clearedgehomebuyers.com/locations/stroudsburg; https://www.clearedgehomebuyers.com/locations/east-stroudsburg; https://www.clearedgehomebuyers.com/locations/tannersville; https://www.clearedgehomebuyers.com/locations/pocono-pines</t>
  </si>
  <si>
    <t xml:space="preserve">https://www.clearedgehomebuyers.com/locations/pennsylvania/monroe-county</t>
  </si>
  <si>
    <t xml:space="preserve">/locations/poconos</t>
  </si>
  <si>
    <t xml:space="preserve">Stroudsburg, East Stroudsburg, Tannersville, Pocono Pines (all existing)</t>
  </si>
  <si>
    <t xml:space="preserve">Schuylkill County</t>
  </si>
  <si>
    <t xml:space="preserve">42107</t>
  </si>
  <si>
    <t xml:space="preserve">Schuylkill County, PA</t>
  </si>
  <si>
    <t xml:space="preserve">Existing footprint via Pottsville page; very low values</t>
  </si>
  <si>
    <t xml:space="preserve">https://censusreporter.org/profiles/05000US42107/</t>
  </si>
  <si>
    <t xml:space="preserve">https://www.clearedgehomebuyers.com/locations/pottsville</t>
  </si>
  <si>
    <t xml:space="preserve">https://www.clearedgehomebuyers.com/locations/pennsylvania/schuylkill-county</t>
  </si>
  <si>
    <t xml:space="preserve">Pottsville (existing)</t>
  </si>
  <si>
    <t xml:space="preserve">Wayne County</t>
  </si>
  <si>
    <t xml:space="preserve">42127</t>
  </si>
  <si>
    <t xml:space="preserve">Wayne County, PA</t>
  </si>
  <si>
    <t xml:space="preserve">Existing footprint via Honesdale page; rural, lake/second-home stock</t>
  </si>
  <si>
    <t xml:space="preserve">https://censusreporter.org/profiles/05000US42127/</t>
  </si>
  <si>
    <t xml:space="preserve">https://www.clearedgehomebuyers.com/locations/honesdale</t>
  </si>
  <si>
    <t xml:space="preserve">https://www.clearedgehomebuyers.com/locations/pennsylvania/wayne-county</t>
  </si>
  <si>
    <t xml:space="preserve">Honesdale (existing)</t>
  </si>
  <si>
    <t xml:space="preserve">Columbia County</t>
  </si>
  <si>
    <t xml:space="preserve">42037</t>
  </si>
  <si>
    <t xml:space="preserve">Columbia County, PA</t>
  </si>
  <si>
    <t xml:space="preserve">Existing footprint via Bloomsburg page; small market</t>
  </si>
  <si>
    <t xml:space="preserve">https://censusreporter.org/profiles/05000US42037/</t>
  </si>
  <si>
    <t xml:space="preserve">https://www.clearedgehomebuyers.com/locations/bloomsburg</t>
  </si>
  <si>
    <t xml:space="preserve">https://www.clearedgehomebuyers.com/locations/pennsylvania/columbia-county</t>
  </si>
  <si>
    <t xml:space="preserve">Bloomsburg (existing)</t>
  </si>
  <si>
    <t xml:space="preserve">Philadelphia suburbs</t>
  </si>
  <si>
    <t xml:space="preserve">Montgomery County</t>
  </si>
  <si>
    <t xml:space="preserve">42091</t>
  </si>
  <si>
    <t xml:space="preserve">Montgomery County, PA</t>
  </si>
  <si>
    <t xml:space="preserve">Tier 1</t>
  </si>
  <si>
    <t xml:space="preserve">Source of the most profitable deal to date; high values, deep buyer pool, no page existed</t>
  </si>
  <si>
    <t xml:space="preserve">New hub</t>
  </si>
  <si>
    <t xml:space="preserve">Wave 1: publish county/borough hub; city pages only where demand verified</t>
  </si>
  <si>
    <t xml:space="preserve">https://censusreporter.org/profiles/05000US42091/</t>
  </si>
  <si>
    <t xml:space="preserve">https://www.clearedgehomebuyers.com/locations/pennsylvania/montgomery-county</t>
  </si>
  <si>
    <t xml:space="preserve">Norristown, Pottstown, Lansdale, Abington, Cheltenham, Upper Merion</t>
  </si>
  <si>
    <t xml:space="preserve">Bucks County</t>
  </si>
  <si>
    <t xml:space="preserve">42017</t>
  </si>
  <si>
    <t xml:space="preserve">Bucks County, PA</t>
  </si>
  <si>
    <t xml:space="preserve">High values, aging suburban stock, strong flip resale demand</t>
  </si>
  <si>
    <t xml:space="preserve">https://censusreporter.org/profiles/05000US42017/</t>
  </si>
  <si>
    <t xml:space="preserve">https://www.clearedgehomebuyers.com/locations/pennsylvania/bucks-county</t>
  </si>
  <si>
    <t xml:space="preserve">Levittown, Bristol, Bensalem, Doylestown, Warminster</t>
  </si>
  <si>
    <t xml:space="preserve">Delaware County</t>
  </si>
  <si>
    <t xml:space="preserve">42045</t>
  </si>
  <si>
    <t xml:space="preserve">Delaware County, PA</t>
  </si>
  <si>
    <t xml:space="preserve">Dense older housing, high investor activity, mid values with big spread variance</t>
  </si>
  <si>
    <t xml:space="preserve">https://censusreporter.org/profiles/05000US42045/</t>
  </si>
  <si>
    <t xml:space="preserve">https://www.clearedgehomebuyers.com/locations/pennsylvania/delaware-county</t>
  </si>
  <si>
    <t xml:space="preserve">Upper Darby, Chester, Drexel Hill, Media, Springfield</t>
  </si>
  <si>
    <t xml:space="preserve">Chester County</t>
  </si>
  <si>
    <t xml:space="preserve">42029</t>
  </si>
  <si>
    <t xml:space="preserve">Chester County, PA</t>
  </si>
  <si>
    <t xml:space="preserve">Highest SE PA values; fewer distressed properties, larger fees when found</t>
  </si>
  <si>
    <t xml:space="preserve">https://censusreporter.org/profiles/05000US42029/</t>
  </si>
  <si>
    <t xml:space="preserve">https://www.clearedgehomebuyers.com/locations/pennsylvania/chester-county</t>
  </si>
  <si>
    <t xml:space="preserve">Coatesville, West Chester, Phoenixville, Downingtown</t>
  </si>
  <si>
    <t xml:space="preserve">Philadelphia</t>
  </si>
  <si>
    <t xml:space="preserve">Philadelphia County</t>
  </si>
  <si>
    <t xml:space="preserve">42101</t>
  </si>
  <si>
    <t xml:space="preserve">Philadelphia County, PA</t>
  </si>
  <si>
    <t xml:space="preserve">Largest transaction and investor volume in the footprint; treat as its own region hub</t>
  </si>
  <si>
    <t xml:space="preserve">https://censusreporter.org/profiles/05000US42101/</t>
  </si>
  <si>
    <t xml:space="preserve">https://www.clearedgehomebuyers.com/locations/pennsylvania/philadelphia</t>
  </si>
  <si>
    <t xml:space="preserve">Northeast Philadelphia, Germantown, West Philadelphia, South Philadelphia (neighborhood pages, selective)</t>
  </si>
  <si>
    <t xml:space="preserve">South Central</t>
  </si>
  <si>
    <t xml:space="preserve">Lancaster County</t>
  </si>
  <si>
    <t xml:space="preserve">42071</t>
  </si>
  <si>
    <t xml:space="preserve">Lancaster County, PA</t>
  </si>
  <si>
    <t xml:space="preserve">Tier 2</t>
  </si>
  <si>
    <t xml:space="preserve">Large, growing market with mid values and active investors</t>
  </si>
  <si>
    <t xml:space="preserve">Wave 5</t>
  </si>
  <si>
    <t xml:space="preserve">Wave 5: publish county/borough hub; city pages only where demand verified</t>
  </si>
  <si>
    <t xml:space="preserve">https://censusreporter.org/profiles/05000US42071/</t>
  </si>
  <si>
    <t xml:space="preserve">https://www.clearedgehomebuyers.com/locations/pennsylvania/lancaster-county</t>
  </si>
  <si>
    <t xml:space="preserve">Lancaster, Lititz, Ephrata</t>
  </si>
  <si>
    <t xml:space="preserve">York County</t>
  </si>
  <si>
    <t xml:space="preserve">42133</t>
  </si>
  <si>
    <t xml:space="preserve">York County, PA</t>
  </si>
  <si>
    <t xml:space="preserve">Mid values, high volume, adjacent to Lancaster</t>
  </si>
  <si>
    <t xml:space="preserve">https://censusreporter.org/profiles/05000US42133/</t>
  </si>
  <si>
    <t xml:space="preserve">https://www.clearedgehomebuyers.com/locations/pennsylvania/york-county</t>
  </si>
  <si>
    <t xml:space="preserve">York, Hanover</t>
  </si>
  <si>
    <t xml:space="preserve">Dauphin County</t>
  </si>
  <si>
    <t xml:space="preserve">42043</t>
  </si>
  <si>
    <t xml:space="preserve">Dauphin County, PA</t>
  </si>
  <si>
    <t xml:space="preserve">Harrisburg metro; state-capital employment base</t>
  </si>
  <si>
    <t xml:space="preserve">https://censusreporter.org/profiles/05000US42043/</t>
  </si>
  <si>
    <t xml:space="preserve">https://www.clearedgehomebuyers.com/locations/pennsylvania/dauphin-county</t>
  </si>
  <si>
    <t xml:space="preserve">Harrisburg, Hershey</t>
  </si>
  <si>
    <t xml:space="preserve">Cumberland County</t>
  </si>
  <si>
    <t xml:space="preserve">42041</t>
  </si>
  <si>
    <t xml:space="preserve">Cumberland County, PA</t>
  </si>
  <si>
    <t xml:space="preserve">West-shore Harrisburg suburbs; higher values than Dauphin</t>
  </si>
  <si>
    <t xml:space="preserve">https://censusreporter.org/profiles/05000US42041/</t>
  </si>
  <si>
    <t xml:space="preserve">https://www.clearedgehomebuyers.com/locations/pennsylvania/cumberland-county</t>
  </si>
  <si>
    <t xml:space="preserve">Carlisle, Mechanicsburg, Camp Hill</t>
  </si>
  <si>
    <t xml:space="preserve">Lebanon County</t>
  </si>
  <si>
    <t xml:space="preserve">42075</t>
  </si>
  <si>
    <t xml:space="preserve">Lebanon County, PA</t>
  </si>
  <si>
    <t xml:space="preserve">Tier 3</t>
  </si>
  <si>
    <t xml:space="preserve">Small market between Lancaster and Harrisburg; state-hub coverage</t>
  </si>
  <si>
    <t xml:space="preserve">Not scheduled</t>
  </si>
  <si>
    <t xml:space="preserve">CMS record only</t>
  </si>
  <si>
    <t xml:space="preserve">Record only — covered by state hub; no page scheduled</t>
  </si>
  <si>
    <t xml:space="preserve">https://censusreporter.org/profiles/05000US42075/</t>
  </si>
  <si>
    <t xml:space="preserve">Adams County</t>
  </si>
  <si>
    <t xml:space="preserve">42001</t>
  </si>
  <si>
    <t xml:space="preserve">Adams County, PA</t>
  </si>
  <si>
    <t xml:space="preserve">Rural; state-hub coverage</t>
  </si>
  <si>
    <t xml:space="preserve">https://censusreporter.org/profiles/05000US42001/</t>
  </si>
  <si>
    <t xml:space="preserve">Franklin County</t>
  </si>
  <si>
    <t xml:space="preserve">42055</t>
  </si>
  <si>
    <t xml:space="preserve">Franklin County, PA</t>
  </si>
  <si>
    <t xml:space="preserve">https://censusreporter.org/profiles/05000US42055/</t>
  </si>
  <si>
    <t xml:space="preserve">Perry County</t>
  </si>
  <si>
    <t xml:space="preserve">42099</t>
  </si>
  <si>
    <t xml:space="preserve">Perry County, PA</t>
  </si>
  <si>
    <t xml:space="preserve">https://censusreporter.org/profiles/05000US42099/</t>
  </si>
  <si>
    <t xml:space="preserve">Carbon County</t>
  </si>
  <si>
    <t xml:space="preserve">42025</t>
  </si>
  <si>
    <t xml:space="preserve">Carbon County, PA</t>
  </si>
  <si>
    <t xml:space="preserve">Adjacent to Poconos; small; covered by Poconos region hub</t>
  </si>
  <si>
    <t xml:space="preserve">https://censusreporter.org/profiles/05000US42025/</t>
  </si>
  <si>
    <t xml:space="preserve">Pike County</t>
  </si>
  <si>
    <t xml:space="preserve">42103</t>
  </si>
  <si>
    <t xml:space="preserve">Pike County, PA</t>
  </si>
  <si>
    <t xml:space="preserve">Adjacent to Poconos; second-home stock; covered by Poconos region hub</t>
  </si>
  <si>
    <t xml:space="preserve">https://censusreporter.org/profiles/05000US42103/</t>
  </si>
  <si>
    <t xml:space="preserve">Wyoming County</t>
  </si>
  <si>
    <t xml:space="preserve">42131</t>
  </si>
  <si>
    <t xml:space="preserve">Wyoming County, PA</t>
  </si>
  <si>
    <t xml:space="preserve">Rural; covered by NEPA region hub</t>
  </si>
  <si>
    <t xml:space="preserve">https://censusreporter.org/profiles/05000US42131/</t>
  </si>
  <si>
    <t xml:space="preserve">Susquehanna County</t>
  </si>
  <si>
    <t xml:space="preserve">42115</t>
  </si>
  <si>
    <t xml:space="preserve">Susquehanna County, PA</t>
  </si>
  <si>
    <t xml:space="preserve">https://censusreporter.org/profiles/05000US42115/</t>
  </si>
  <si>
    <t xml:space="preserve">Northumberland County</t>
  </si>
  <si>
    <t xml:space="preserve">42097</t>
  </si>
  <si>
    <t xml:space="preserve">Northumberland County, PA</t>
  </si>
  <si>
    <t xml:space="preserve">Small; state-hub coverage</t>
  </si>
  <si>
    <t xml:space="preserve">https://censusreporter.org/profiles/05000US42097/</t>
  </si>
  <si>
    <t xml:space="preserve">Bradford County</t>
  </si>
  <si>
    <t xml:space="preserve">42015</t>
  </si>
  <si>
    <t xml:space="preserve">Bradford County, PA</t>
  </si>
  <si>
    <t xml:space="preserve">https://censusreporter.org/profiles/05000US42015/</t>
  </si>
  <si>
    <t xml:space="preserve">NJ</t>
  </si>
  <si>
    <t xml:space="preserve">North Jersey</t>
  </si>
  <si>
    <t xml:space="preserve">Bergen County</t>
  </si>
  <si>
    <t xml:space="preserve">34003</t>
  </si>
  <si>
    <t xml:space="preserve">Bergen County, NJ</t>
  </si>
  <si>
    <t xml:space="preserve">Largest NJ county, very high values, dense aging single-family stock</t>
  </si>
  <si>
    <t xml:space="preserve">Wave 2</t>
  </si>
  <si>
    <t xml:space="preserve">Wave 2: publish county/borough hub; city pages only where demand verified</t>
  </si>
  <si>
    <t xml:space="preserve">https://censusreporter.org/profiles/05000US34003/</t>
  </si>
  <si>
    <t xml:space="preserve">https://www.clearedgehomebuyers.com/locations/new-jersey/bergen-county</t>
  </si>
  <si>
    <t xml:space="preserve">/locations/new-jersey</t>
  </si>
  <si>
    <t xml:space="preserve">Hackensack, Teaneck, Fair Lawn, Paramus, Englewood</t>
  </si>
  <si>
    <t xml:space="preserve">Essex County</t>
  </si>
  <si>
    <t xml:space="preserve">34013</t>
  </si>
  <si>
    <t xml:space="preserve">Essex County, NJ</t>
  </si>
  <si>
    <t xml:space="preserve">Meta campaign target; Newark investor volume plus high-value suburbs</t>
  </si>
  <si>
    <t xml:space="preserve">https://censusreporter.org/profiles/05000US34013/</t>
  </si>
  <si>
    <t xml:space="preserve">https://www.clearedgehomebuyers.com/locations/new-jersey/essex-county</t>
  </si>
  <si>
    <t xml:space="preserve">Newark, East Orange, Irvington, Bloomfield, Montclair, West Orange</t>
  </si>
  <si>
    <t xml:space="preserve">Union County</t>
  </si>
  <si>
    <t xml:space="preserve">34039</t>
  </si>
  <si>
    <t xml:space="preserve">Union County, NJ</t>
  </si>
  <si>
    <t xml:space="preserve">Meta campaign target; dense 1-4 family stock</t>
  </si>
  <si>
    <t xml:space="preserve">https://censusreporter.org/profiles/05000US34039/</t>
  </si>
  <si>
    <t xml:space="preserve">https://www.clearedgehomebuyers.com/locations/new-jersey/union-county</t>
  </si>
  <si>
    <t xml:space="preserve">Elizabeth, Plainfield, Linden, Union, Rahway</t>
  </si>
  <si>
    <t xml:space="preserve">Passaic County</t>
  </si>
  <si>
    <t xml:space="preserve">34031</t>
  </si>
  <si>
    <t xml:space="preserve">Passaic County, NJ</t>
  </si>
  <si>
    <t xml:space="preserve">Meta campaign target; Paterson investor volume, mid-to-high values</t>
  </si>
  <si>
    <t xml:space="preserve">https://censusreporter.org/profiles/05000US34031/</t>
  </si>
  <si>
    <t xml:space="preserve">https://www.clearedgehomebuyers.com/locations/new-jersey/passaic-county</t>
  </si>
  <si>
    <t xml:space="preserve">Paterson, Clifton, Passaic, Wayne</t>
  </si>
  <si>
    <t xml:space="preserve">Hudson County</t>
  </si>
  <si>
    <t xml:space="preserve">34017</t>
  </si>
  <si>
    <t xml:space="preserve">Hudson County, NJ</t>
  </si>
  <si>
    <t xml:space="preserve">Very dense, high values, heavy 2-4 family stock; condo-heavy waterfront</t>
  </si>
  <si>
    <t xml:space="preserve">https://censusreporter.org/profiles/05000US34017/</t>
  </si>
  <si>
    <t xml:space="preserve">https://www.clearedgehomebuyers.com/locations/new-jersey/hudson-county</t>
  </si>
  <si>
    <t xml:space="preserve">Jersey City, Bayonne, Kearny, North Bergen, Union City</t>
  </si>
  <si>
    <t xml:space="preserve">Morris County</t>
  </si>
  <si>
    <t xml:space="preserve">34027</t>
  </si>
  <si>
    <t xml:space="preserve">Morris County, NJ</t>
  </si>
  <si>
    <t xml:space="preserve">High values, older owner base, strong resale demand</t>
  </si>
  <si>
    <t xml:space="preserve">https://censusreporter.org/profiles/05000US34027/</t>
  </si>
  <si>
    <t xml:space="preserve">https://www.clearedgehomebuyers.com/locations/new-jersey/morris-county</t>
  </si>
  <si>
    <t xml:space="preserve">Parsippany, Morristown, Dover, Randolph</t>
  </si>
  <si>
    <t xml:space="preserve">Central Jersey</t>
  </si>
  <si>
    <t xml:space="preserve">Middlesex County</t>
  </si>
  <si>
    <t xml:space="preserve">34023</t>
  </si>
  <si>
    <t xml:space="preserve">Middlesex County, NJ</t>
  </si>
  <si>
    <t xml:space="preserve">High volume, mid-to-high values, investor-active (New Brunswick)</t>
  </si>
  <si>
    <t xml:space="preserve">https://censusreporter.org/profiles/05000US34023/</t>
  </si>
  <si>
    <t xml:space="preserve">https://www.clearedgehomebuyers.com/locations/new-jersey/middlesex-county</t>
  </si>
  <si>
    <t xml:space="preserve">Edison, Woodbridge, New Brunswick, Perth Amboy, Old Bridge</t>
  </si>
  <si>
    <t xml:space="preserve">Monmouth County</t>
  </si>
  <si>
    <t xml:space="preserve">34025</t>
  </si>
  <si>
    <t xml:space="preserve">Monmouth County, NJ</t>
  </si>
  <si>
    <t xml:space="preserve">High values, large housing base, shore and suburban mix</t>
  </si>
  <si>
    <t xml:space="preserve">https://censusreporter.org/profiles/05000US34025/</t>
  </si>
  <si>
    <t xml:space="preserve">https://www.clearedgehomebuyers.com/locations/new-jersey/monmouth-county</t>
  </si>
  <si>
    <t xml:space="preserve">Freehold, Middletown, Long Branch, Neptune, Howell</t>
  </si>
  <si>
    <t xml:space="preserve">Somerset County</t>
  </si>
  <si>
    <t xml:space="preserve">34035</t>
  </si>
  <si>
    <t xml:space="preserve">Somerset County, NJ</t>
  </si>
  <si>
    <t xml:space="preserve">High values, lower volume</t>
  </si>
  <si>
    <t xml:space="preserve">https://censusreporter.org/profiles/05000US34035/</t>
  </si>
  <si>
    <t xml:space="preserve">https://www.clearedgehomebuyers.com/locations/new-jersey/somerset-county</t>
  </si>
  <si>
    <t xml:space="preserve">Franklin, Bridgewater, Somerville</t>
  </si>
  <si>
    <t xml:space="preserve">Mercer County</t>
  </si>
  <si>
    <t xml:space="preserve">34021</t>
  </si>
  <si>
    <t xml:space="preserve">Mercer County, NJ</t>
  </si>
  <si>
    <t xml:space="preserve">Trenton investor volume plus high-value suburbs</t>
  </si>
  <si>
    <t xml:space="preserve">https://censusreporter.org/profiles/05000US34021/</t>
  </si>
  <si>
    <t xml:space="preserve">https://www.clearedgehomebuyers.com/locations/new-jersey/mercer-county</t>
  </si>
  <si>
    <t xml:space="preserve">Trenton, Hamilton, Ewing</t>
  </si>
  <si>
    <t xml:space="preserve">Shore</t>
  </si>
  <si>
    <t xml:space="preserve">Ocean County</t>
  </si>
  <si>
    <t xml:space="preserve">34029</t>
  </si>
  <si>
    <t xml:space="preserve">Ocean County, NJ</t>
  </si>
  <si>
    <t xml:space="preserve">Very large housing base, mid values, heavy 55+ ownership</t>
  </si>
  <si>
    <t xml:space="preserve">https://censusreporter.org/profiles/05000US34029/</t>
  </si>
  <si>
    <t xml:space="preserve">https://www.clearedgehomebuyers.com/locations/new-jersey/ocean-county</t>
  </si>
  <si>
    <t xml:space="preserve">Toms River, Brick, Lakewood, Jackson</t>
  </si>
  <si>
    <t xml:space="preserve">South Jersey</t>
  </si>
  <si>
    <t xml:space="preserve">Burlington County</t>
  </si>
  <si>
    <t xml:space="preserve">34005</t>
  </si>
  <si>
    <t xml:space="preserve">Burlington County, NJ</t>
  </si>
  <si>
    <t xml:space="preserve">Mid values, Philly-adjacent, steady volume</t>
  </si>
  <si>
    <t xml:space="preserve">https://censusreporter.org/profiles/05000US34005/</t>
  </si>
  <si>
    <t xml:space="preserve">https://www.clearedgehomebuyers.com/locations/new-jersey/burlington-county</t>
  </si>
  <si>
    <t xml:space="preserve">Mount Laurel, Willingboro, Burlington</t>
  </si>
  <si>
    <t xml:space="preserve">Camden County</t>
  </si>
  <si>
    <t xml:space="preserve">34007</t>
  </si>
  <si>
    <t xml:space="preserve">Camden County, NJ</t>
  </si>
  <si>
    <t xml:space="preserve">Mid-to-low values, high investor activity</t>
  </si>
  <si>
    <t xml:space="preserve">https://censusreporter.org/profiles/05000US34007/</t>
  </si>
  <si>
    <t xml:space="preserve">https://www.clearedgehomebuyers.com/locations/new-jersey/camden-county</t>
  </si>
  <si>
    <t xml:space="preserve">Camden, Cherry Hill, Pennsauken</t>
  </si>
  <si>
    <t xml:space="preserve">Gloucester County</t>
  </si>
  <si>
    <t xml:space="preserve">34015</t>
  </si>
  <si>
    <t xml:space="preserve">Gloucester County, NJ</t>
  </si>
  <si>
    <t xml:space="preserve">Mid values, Philly-adjacent</t>
  </si>
  <si>
    <t xml:space="preserve">https://censusreporter.org/profiles/05000US34015/</t>
  </si>
  <si>
    <t xml:space="preserve">https://www.clearedgehomebuyers.com/locations/new-jersey/gloucester-county</t>
  </si>
  <si>
    <t xml:space="preserve">Glassboro, Deptford, Washington Twp</t>
  </si>
  <si>
    <t xml:space="preserve">Hunterdon County</t>
  </si>
  <si>
    <t xml:space="preserve">34019</t>
  </si>
  <si>
    <t xml:space="preserve">Hunterdon County, NJ</t>
  </si>
  <si>
    <t xml:space="preserve">High values, low volume, rural-suburban</t>
  </si>
  <si>
    <t xml:space="preserve">https://censusreporter.org/profiles/05000US34019/</t>
  </si>
  <si>
    <t xml:space="preserve">https://www.clearedgehomebuyers.com/locations/new-jersey/hunterdon-county</t>
  </si>
  <si>
    <t xml:space="preserve">Flemington</t>
  </si>
  <si>
    <t xml:space="preserve">Sussex County</t>
  </si>
  <si>
    <t xml:space="preserve">34037</t>
  </si>
  <si>
    <t xml:space="preserve">Sussex County, NJ</t>
  </si>
  <si>
    <t xml:space="preserve">https://censusreporter.org/profiles/05000US34037/</t>
  </si>
  <si>
    <t xml:space="preserve">Warren County</t>
  </si>
  <si>
    <t xml:space="preserve">34041</t>
  </si>
  <si>
    <t xml:space="preserve">Warren County, NJ</t>
  </si>
  <si>
    <t xml:space="preserve">https://censusreporter.org/profiles/05000US34041/</t>
  </si>
  <si>
    <t xml:space="preserve">Atlantic County</t>
  </si>
  <si>
    <t xml:space="preserve">34001</t>
  </si>
  <si>
    <t xml:space="preserve">Atlantic County, NJ</t>
  </si>
  <si>
    <t xml:space="preserve">Shore; state-hub coverage</t>
  </si>
  <si>
    <t xml:space="preserve">https://censusreporter.org/profiles/05000US34001/</t>
  </si>
  <si>
    <t xml:space="preserve">Cape May County</t>
  </si>
  <si>
    <t xml:space="preserve">34009</t>
  </si>
  <si>
    <t xml:space="preserve">Cape May County, NJ</t>
  </si>
  <si>
    <t xml:space="preserve">Seasonal shore; state-hub coverage</t>
  </si>
  <si>
    <t xml:space="preserve">https://censusreporter.org/profiles/05000US34009/</t>
  </si>
  <si>
    <t xml:space="preserve">34011</t>
  </si>
  <si>
    <t xml:space="preserve">Cumberland County, NJ</t>
  </si>
  <si>
    <t xml:space="preserve">Low values; state-hub coverage</t>
  </si>
  <si>
    <t xml:space="preserve">https://censusreporter.org/profiles/05000US34011/</t>
  </si>
  <si>
    <t xml:space="preserve">Salem County</t>
  </si>
  <si>
    <t xml:space="preserve">34033</t>
  </si>
  <si>
    <t xml:space="preserve">Salem County, NJ</t>
  </si>
  <si>
    <t xml:space="preserve">Rural, low values; state-hub coverage</t>
  </si>
  <si>
    <t xml:space="preserve">https://censusreporter.org/profiles/05000US34033/</t>
  </si>
  <si>
    <t xml:space="preserve">NY</t>
  </si>
  <si>
    <t xml:space="preserve">New York City</t>
  </si>
  <si>
    <t xml:space="preserve">Queens</t>
  </si>
  <si>
    <t xml:space="preserve">36081</t>
  </si>
  <si>
    <t xml:space="preserve">Queens County, NY</t>
  </si>
  <si>
    <t xml:space="preserve">Home turf; largest 1-4 family stock in NYC; heavy inheritance volume</t>
  </si>
  <si>
    <t xml:space="preserve">Wave 3</t>
  </si>
  <si>
    <t xml:space="preserve">Wave 3: publish county/borough hub; city pages only where demand verified</t>
  </si>
  <si>
    <t xml:space="preserve">https://censusreporter.org/profiles/05000US36081/</t>
  </si>
  <si>
    <t xml:space="preserve">https://www.clearedgehomebuyers.com/locations/new-york/queens</t>
  </si>
  <si>
    <t xml:space="preserve">/locations/new-york/new-york-city</t>
  </si>
  <si>
    <t xml:space="preserve">Flushing, Jamaica, Ridgewood, Bayside, Rego Park (neighborhood pages, selective)</t>
  </si>
  <si>
    <t xml:space="preserve">Brooklyn (Kings)</t>
  </si>
  <si>
    <t xml:space="preserve">36047</t>
  </si>
  <si>
    <t xml:space="preserve">Kings County, NY</t>
  </si>
  <si>
    <t xml:space="preserve">Very high values, large 2-4 family stock, aging owners</t>
  </si>
  <si>
    <t xml:space="preserve">https://censusreporter.org/profiles/05000US36047/</t>
  </si>
  <si>
    <t xml:space="preserve">https://www.clearedgehomebuyers.com/locations/new-york/brooklyn</t>
  </si>
  <si>
    <t xml:space="preserve">Canarsie, Bushwick, East Flatbush, Bensonhurst (selective)</t>
  </si>
  <si>
    <t xml:space="preserve">Bronx</t>
  </si>
  <si>
    <t xml:space="preserve">36005</t>
  </si>
  <si>
    <t xml:space="preserve">Bronx County, NY</t>
  </si>
  <si>
    <t xml:space="preserve">Mid-to-high values, 1-4 family stock in east/north Bronx</t>
  </si>
  <si>
    <t xml:space="preserve">https://censusreporter.org/profiles/05000US36005/</t>
  </si>
  <si>
    <t xml:space="preserve">https://www.clearedgehomebuyers.com/locations/new-york/bronx</t>
  </si>
  <si>
    <t xml:space="preserve">Throggs Neck, Wakefield, Soundview (selective)</t>
  </si>
  <si>
    <t xml:space="preserve">Staten Island (Richmond)</t>
  </si>
  <si>
    <t xml:space="preserve">36085</t>
  </si>
  <si>
    <t xml:space="preserve">Richmond County, NY</t>
  </si>
  <si>
    <t xml:space="preserve">Most single-family of the boroughs; suburban-style inherited homes</t>
  </si>
  <si>
    <t xml:space="preserve">https://censusreporter.org/profiles/05000US36085/</t>
  </si>
  <si>
    <t xml:space="preserve">https://www.clearedgehomebuyers.com/locations/new-york/staten-island</t>
  </si>
  <si>
    <t xml:space="preserve">St. George, Tottenville, New Dorp (selective)</t>
  </si>
  <si>
    <t xml:space="preserve">Manhattan (New York)</t>
  </si>
  <si>
    <t xml:space="preserve">36061</t>
  </si>
  <si>
    <t xml:space="preserve">New York County, NY</t>
  </si>
  <si>
    <t xml:space="preserve">Co-op/condo dominant; few 1-4 family homes; hub only</t>
  </si>
  <si>
    <t xml:space="preserve">https://censusreporter.org/profiles/05000US36061/</t>
  </si>
  <si>
    <t xml:space="preserve">https://www.clearedgehomebuyers.com/locations/new-york/manhattan</t>
  </si>
  <si>
    <t xml:space="preserve">Harlem, Washington Heights (selective, townhouse stock)</t>
  </si>
  <si>
    <t xml:space="preserve">Long Island</t>
  </si>
  <si>
    <t xml:space="preserve">Nassau County</t>
  </si>
  <si>
    <t xml:space="preserve">36059</t>
  </si>
  <si>
    <t xml:space="preserve">Nassau County, NY</t>
  </si>
  <si>
    <t xml:space="preserve">Very high values, large aging single-family base, LIRR employer proximity</t>
  </si>
  <si>
    <t xml:space="preserve">https://censusreporter.org/profiles/05000US36059/</t>
  </si>
  <si>
    <t xml:space="preserve">https://www.clearedgehomebuyers.com/locations/new-york/nassau-county</t>
  </si>
  <si>
    <t xml:space="preserve">/locations/new-york/long-island</t>
  </si>
  <si>
    <t xml:space="preserve">Hempstead, Freeport, Levittown, Valley Stream, Long Beach</t>
  </si>
  <si>
    <t xml:space="preserve">Suffolk County</t>
  </si>
  <si>
    <t xml:space="preserve">36103</t>
  </si>
  <si>
    <t xml:space="preserve">Suffolk County, NY</t>
  </si>
  <si>
    <t xml:space="preserve">Largest LI housing base, high values, wide spread variance west to east</t>
  </si>
  <si>
    <t xml:space="preserve">https://censusreporter.org/profiles/05000US36103/</t>
  </si>
  <si>
    <t xml:space="preserve">https://www.clearedgehomebuyers.com/locations/new-york/suffolk-county</t>
  </si>
  <si>
    <t xml:space="preserve">Brentwood, Bay Shore, Huntington Station, Patchogue, Riverhead</t>
  </si>
  <si>
    <t xml:space="preserve">Westchester &amp; Hudson Valley</t>
  </si>
  <si>
    <t xml:space="preserve">Westchester County</t>
  </si>
  <si>
    <t xml:space="preserve">36119</t>
  </si>
  <si>
    <t xml:space="preserve">Westchester County, NY</t>
  </si>
  <si>
    <t xml:space="preserve">~1M residents, very high values; town selection matters</t>
  </si>
  <si>
    <t xml:space="preserve">https://censusreporter.org/profiles/05000US36119/</t>
  </si>
  <si>
    <t xml:space="preserve">https://www.clearedgehomebuyers.com/locations/new-york/westchester-county</t>
  </si>
  <si>
    <t xml:space="preserve">/locations/new-york</t>
  </si>
  <si>
    <t xml:space="preserve">Yonkers, Mount Vernon, New Rochelle, White Plains, Peekskill</t>
  </si>
  <si>
    <t xml:space="preserve">Rockland County</t>
  </si>
  <si>
    <t xml:space="preserve">36087</t>
  </si>
  <si>
    <t xml:space="preserve">Rockland County, NY</t>
  </si>
  <si>
    <t xml:space="preserve">High values, dense suburban stock</t>
  </si>
  <si>
    <t xml:space="preserve">https://censusreporter.org/profiles/05000US36087/</t>
  </si>
  <si>
    <t xml:space="preserve">https://www.clearedgehomebuyers.com/locations/new-york/rockland-county</t>
  </si>
  <si>
    <t xml:space="preserve">Spring Valley, Nanuet, Suffern, Haverstraw</t>
  </si>
  <si>
    <t xml:space="preserve">Orange County</t>
  </si>
  <si>
    <t xml:space="preserve">36071</t>
  </si>
  <si>
    <t xml:space="preserve">Orange County, NY</t>
  </si>
  <si>
    <t xml:space="preserve">Mid values, growing, PA-like economics</t>
  </si>
  <si>
    <t xml:space="preserve">https://censusreporter.org/profiles/05000US36071/</t>
  </si>
  <si>
    <t xml:space="preserve">https://www.clearedgehomebuyers.com/locations/new-york/orange-county</t>
  </si>
  <si>
    <t xml:space="preserve">Newburgh, Middletown, Monroe</t>
  </si>
  <si>
    <t xml:space="preserve">Putnam County</t>
  </si>
  <si>
    <t xml:space="preserve">36079</t>
  </si>
  <si>
    <t xml:space="preserve">Putnam County, NY</t>
  </si>
  <si>
    <t xml:space="preserve">High values, low volume</t>
  </si>
  <si>
    <t xml:space="preserve">https://censusreporter.org/profiles/05000US36079/</t>
  </si>
  <si>
    <t xml:space="preserve">https://www.clearedgehomebuyers.com/locations/new-york/putnam-county</t>
  </si>
  <si>
    <t xml:space="preserve">Carmel, Brewster</t>
  </si>
  <si>
    <t xml:space="preserve">Dutchess County</t>
  </si>
  <si>
    <t xml:space="preserve">36027</t>
  </si>
  <si>
    <t xml:space="preserve">Dutchess County, NY</t>
  </si>
  <si>
    <t xml:space="preserve">Mid values, Poughkeepsie investor activity</t>
  </si>
  <si>
    <t xml:space="preserve">https://censusreporter.org/profiles/05000US36027/</t>
  </si>
  <si>
    <t xml:space="preserve">https://www.clearedgehomebuyers.com/locations/new-york/dutchess-county</t>
  </si>
  <si>
    <t xml:space="preserve">Poughkeepsie, Beacon, Wappingers Falls</t>
  </si>
  <si>
    <t xml:space="preserve">Ulster County</t>
  </si>
  <si>
    <t xml:space="preserve">36111</t>
  </si>
  <si>
    <t xml:space="preserve">Ulster County, NY</t>
  </si>
  <si>
    <t xml:space="preserve">Rural-suburban; state-hub coverage</t>
  </si>
  <si>
    <t xml:space="preserve">https://censusreporter.org/profiles/05000US36111/</t>
  </si>
  <si>
    <t xml:space="preserve">Sullivan County</t>
  </si>
  <si>
    <t xml:space="preserve">36105</t>
  </si>
  <si>
    <t xml:space="preserve">Sullivan County, NY</t>
  </si>
  <si>
    <t xml:space="preserve">https://censusreporter.org/profiles/05000US36105/</t>
  </si>
  <si>
    <t xml:space="preserve">36021</t>
  </si>
  <si>
    <t xml:space="preserve">Columbia County, NY</t>
  </si>
  <si>
    <t xml:space="preserve">https://censusreporter.org/profiles/05000US36021/</t>
  </si>
  <si>
    <t xml:space="preserve">Greene County</t>
  </si>
  <si>
    <t xml:space="preserve">36039</t>
  </si>
  <si>
    <t xml:space="preserve">Greene County, NY</t>
  </si>
  <si>
    <t xml:space="preserve">https://censusreporter.org/profiles/05000US36039/</t>
  </si>
  <si>
    <t xml:space="preserve">CT</t>
  </si>
  <si>
    <t xml:space="preserve">Southern CT</t>
  </si>
  <si>
    <t xml:space="preserve">Western Connecticut Planning Region (legacy Fairfield/Litchfield)</t>
  </si>
  <si>
    <t xml:space="preserve">09190</t>
  </si>
  <si>
    <t xml:space="preserve">Western Connecticut Planning Region, CT</t>
  </si>
  <si>
    <t xml:space="preserve">statistical</t>
  </si>
  <si>
    <t xml:space="preserve">Attaches to hub: Fairfield County</t>
  </si>
  <si>
    <t xml:space="preserve">Stamford/Norwalk/Danbury corridor; highest CT values</t>
  </si>
  <si>
    <t xml:space="preserve">Statistical record only (no page)</t>
  </si>
  <si>
    <t xml:space="preserve">Never published; supplies market evidence to the hub named in column G</t>
  </si>
  <si>
    <t xml:space="preserve">Planning-region boundaries differ from legacy county boundaries (Census publishes relationship files); Annual homes sold not populated — source: Redfin Data Center county-level housing market download (homes sold, monthly); record period when filled; Investor purchase share not populated — Redfin/ATTOM investor data uses metro definitions; store only if the geography matches this row, else leave blank and note the metro figure in Rationale</t>
  </si>
  <si>
    <t xml:space="preserve">https://censusreporter.org/profiles/05000US09190/</t>
  </si>
  <si>
    <t xml:space="preserve">Greater Bridgeport Planning Region (legacy Fairfield)</t>
  </si>
  <si>
    <t xml:space="preserve">09120</t>
  </si>
  <si>
    <t xml:space="preserve">Greater Bridgeport Planning Region, CT</t>
  </si>
  <si>
    <t xml:space="preserve">Bridgeport investor volume plus Stratford/Trumbull suburbs</t>
  </si>
  <si>
    <t xml:space="preserve">https://censusreporter.org/profiles/05000US09120/</t>
  </si>
  <si>
    <t xml:space="preserve">South Central Connecticut Planning Region (legacy New Haven)</t>
  </si>
  <si>
    <t xml:space="preserve">09170</t>
  </si>
  <si>
    <t xml:space="preserve">South Central Connecticut Planning Region, CT</t>
  </si>
  <si>
    <t xml:space="preserve">Attaches to hub: New Haven County</t>
  </si>
  <si>
    <t xml:space="preserve">New Haven metro; mid values, active investors</t>
  </si>
  <si>
    <t xml:space="preserve">https://censusreporter.org/profiles/05000US09170/</t>
  </si>
  <si>
    <t xml:space="preserve">Naugatuck Valley Planning Region (legacy New Haven/Litchfield)</t>
  </si>
  <si>
    <t xml:space="preserve">09140</t>
  </si>
  <si>
    <t xml:space="preserve">Naugatuck Valley Planning Region, CT</t>
  </si>
  <si>
    <t xml:space="preserve">Waterbury; low values, high distress volume</t>
  </si>
  <si>
    <t xml:space="preserve">https://censusreporter.org/profiles/05000US09140/</t>
  </si>
  <si>
    <t xml:space="preserve">Lower Connecticut River Valley Planning Region (legacy Middlesex)</t>
  </si>
  <si>
    <t xml:space="preserve">09130</t>
  </si>
  <si>
    <t xml:space="preserve">Lower Connecticut River Valley Planning Region, CT</t>
  </si>
  <si>
    <t xml:space="preserve">Attaches to hub: Middlesex County</t>
  </si>
  <si>
    <t xml:space="preserve">Shoreline; smaller volume</t>
  </si>
  <si>
    <t xml:space="preserve">https://censusreporter.org/profiles/05000US09130/</t>
  </si>
  <si>
    <t xml:space="preserve">Southeastern Connecticut Planning Region (legacy New London)</t>
  </si>
  <si>
    <t xml:space="preserve">09180</t>
  </si>
  <si>
    <t xml:space="preserve">Southeastern Connecticut Planning Region, CT</t>
  </si>
  <si>
    <t xml:space="preserve">Attaches to hub: New London County</t>
  </si>
  <si>
    <t xml:space="preserve">New London/Norwich; mid-to-low values</t>
  </si>
  <si>
    <t xml:space="preserve">https://censusreporter.org/profiles/05000US09180/</t>
  </si>
  <si>
    <t xml:space="preserve">Central CT</t>
  </si>
  <si>
    <t xml:space="preserve">Capitol Planning Region (legacy Hartford)</t>
  </si>
  <si>
    <t xml:space="preserve">09110</t>
  </si>
  <si>
    <t xml:space="preserve">Capitol Planning Region, CT</t>
  </si>
  <si>
    <t xml:space="preserve">Attaches to hub: Hartford County</t>
  </si>
  <si>
    <t xml:space="preserve">Hartford metro; separate expansion decision per plan</t>
  </si>
  <si>
    <t xml:space="preserve">https://censusreporter.org/profiles/05000US09110/</t>
  </si>
  <si>
    <t xml:space="preserve">Northern CT</t>
  </si>
  <si>
    <t xml:space="preserve">Northwest Hills Planning Region (legacy Litchfield)</t>
  </si>
  <si>
    <t xml:space="preserve">09160</t>
  </si>
  <si>
    <t xml:space="preserve">Northwest Hills Planning Region, CT</t>
  </si>
  <si>
    <t xml:space="preserve">Attaches to hub: Litchfield County</t>
  </si>
  <si>
    <t xml:space="preserve">https://censusreporter.org/profiles/05000US09160/</t>
  </si>
  <si>
    <t xml:space="preserve">Northeastern Connecticut Planning Region (legacy Windham/Tolland)</t>
  </si>
  <si>
    <t xml:space="preserve">09150</t>
  </si>
  <si>
    <t xml:space="preserve">Northeastern Connecticut Planning Region, CT</t>
  </si>
  <si>
    <t xml:space="preserve">Attaches to hub: Windham County / Tolland County</t>
  </si>
  <si>
    <t xml:space="preserve">https://censusreporter.org/profiles/05000US09150/</t>
  </si>
  <si>
    <t xml:space="preserve">Fairfield County</t>
  </si>
  <si>
    <t xml:space="preserve">09001</t>
  </si>
  <si>
    <t xml:space="preserve">Statistical areas: 09190; 09120</t>
  </si>
  <si>
    <t xml:space="preserve">Stamford/Norwalk/Danbury/Bridgeport corridor; highest CT values</t>
  </si>
  <si>
    <t xml:space="preserve">Wave 4</t>
  </si>
  <si>
    <t xml:space="preserve">Wave 4: publish county/borough hub; city pages only where demand verified</t>
  </si>
  <si>
    <t xml:space="preserve">No county-level ACS figures: Census reports CT by planning region; read the attached statistical rows and cite them as planning-region figures — never average or relabel as county medians; Annual homes sold not populated — source: Redfin Data Center county-level housing market download (homes sold, monthly); record period when filled; Investor purchase share not populated — Redfin/ATTOM investor data uses metro definitions; store only if the geography matches this row, else leave blank and note the metro figure in Rationale</t>
  </si>
  <si>
    <t xml:space="preserve">https://www.clearedgehomebuyers.com/locations/connecticut/fairfield-county</t>
  </si>
  <si>
    <t xml:space="preserve">/locations/connecticut</t>
  </si>
  <si>
    <t xml:space="preserve">Bridgeport, Stamford, Norwalk, Danbury, Stratford</t>
  </si>
  <si>
    <t xml:space="preserve">New Haven County</t>
  </si>
  <si>
    <t xml:space="preserve">09009</t>
  </si>
  <si>
    <t xml:space="preserve">Statistical areas: 09170; 09140</t>
  </si>
  <si>
    <t xml:space="preserve">New Haven and Waterbury metros; mid values, active investors</t>
  </si>
  <si>
    <t xml:space="preserve">https://www.clearedgehomebuyers.com/locations/connecticut/new-haven-county</t>
  </si>
  <si>
    <t xml:space="preserve">New Haven, Waterbury, Hamden, West Haven, Meriden</t>
  </si>
  <si>
    <t xml:space="preserve">09007</t>
  </si>
  <si>
    <t xml:space="preserve">Statistical areas: 09130</t>
  </si>
  <si>
    <t xml:space="preserve">https://www.clearedgehomebuyers.com/locations/connecticut/middlesex-county</t>
  </si>
  <si>
    <t xml:space="preserve">Middletown</t>
  </si>
  <si>
    <t xml:space="preserve">New London County</t>
  </si>
  <si>
    <t xml:space="preserve">09011</t>
  </si>
  <si>
    <t xml:space="preserve">Statistical areas: 09180</t>
  </si>
  <si>
    <t xml:space="preserve">https://www.clearedgehomebuyers.com/locations/connecticut/new-london-county</t>
  </si>
  <si>
    <t xml:space="preserve">New London, Norwich</t>
  </si>
  <si>
    <t xml:space="preserve">Hartford County</t>
  </si>
  <si>
    <t xml:space="preserve">09003</t>
  </si>
  <si>
    <t xml:space="preserve">Statistical areas: 09110</t>
  </si>
  <si>
    <t xml:space="preserve">https://www.clearedgehomebuyers.com/locations/connecticut/hartford-county</t>
  </si>
  <si>
    <t xml:space="preserve">Hartford, New Britain, Bristol</t>
  </si>
  <si>
    <t xml:space="preserve">Litchfield County</t>
  </si>
  <si>
    <t xml:space="preserve">09005</t>
  </si>
  <si>
    <t xml:space="preserve">Statistical areas: 09160; 09190 (part)</t>
  </si>
  <si>
    <t xml:space="preserve">Tolland County</t>
  </si>
  <si>
    <t xml:space="preserve">09013</t>
  </si>
  <si>
    <t xml:space="preserve">Statistical areas: 09150; 09110 (part)</t>
  </si>
  <si>
    <t xml:space="preserve">Windham County</t>
  </si>
  <si>
    <t xml:space="preserve">09015</t>
  </si>
  <si>
    <t xml:space="preserve">Statistical areas: 09150</t>
  </si>
  <si>
    <t xml:space="preserve">Tier (page records only)</t>
  </si>
  <si>
    <t xml:space="preserve">Counties / boroughs</t>
  </si>
  <si>
    <t xml:space="preserve">Total page records</t>
  </si>
  <si>
    <t xml:space="preserve">Statistical records (CT planning regions)</t>
  </si>
  <si>
    <t xml:space="preserve">Page records</t>
  </si>
  <si>
    <t xml:space="preserve">Median of median home values, page records with ACS data ($)</t>
  </si>
  <si>
    <t xml:space="preserve">Field group</t>
  </si>
  <si>
    <t xml:space="preserve">Notes</t>
  </si>
  <si>
    <t xml:space="preserve">page = a geography that can carry a public hub (one unique URL per page record). statistical = a Census geography that supplies figures to a page record and never renders. Connecticut is the only state with statistical rows: the Census Bureau reports CT by nine planning regions (county-equivalents since 2022), whose boundaries differ from the eight legacy counties. Each CT county page row names its attached planning regions in column G. Cite those figures as planning-region figures; never average them into a county median.</t>
  </si>
  <si>
    <t xml:space="preserve">Existing core = pages already live in eastern PA. Tier 1 = full county/borough hub, situation×county pages where they earn it, selected city pages. Tier 2 = county hub + situation coverage, few or no city pages. Tier 3 = CMS record only; covered by the state hub; no page scheduled. Tiers are a research prior; adjust after the market-evidence columns are filled.</t>
  </si>
  <si>
    <t xml:space="preserve">Wave 0 (not in this sheet) = state hubs and geographic spine. Wave 1 = SE PA + attach existing PA pages. Wave 2 = North &amp; Central NJ Tier 1. Wave 3 = NYC boroughs, Long Island, Westchester/Rockland. Wave 4 = Fairfield County CT. Wave 5 = Tier 2 fill across all states.</t>
  </si>
  <si>
    <t xml:space="preserve">Page status vs publish decision</t>
  </si>
  <si>
    <t xml:space="preserve">Every row gets a Sanity record regardless of tier. Publication is a separate decision recorded in the Publish decision column. Market priority never auto-publishes a page.</t>
  </si>
  <si>
    <t xml:space="preserve">Market evidence — populated</t>
  </si>
  <si>
    <t xml:space="preserve">Population (B01003), median owner-occupied home value (B25077), all housing units (B25001), occupied housing units (B25003_001), owner-occupied units (B25003_002), owner households by age of householder (B25007; 65+ = 65–74, 75–84, 85+), units in structure (B25024; 1–4 unit = 1 detached, 1 attached, 2, 3–4), median year built (B25035), median household income (B19013). US Census Bureau American Community Survey 2024 5-year estimates (2020–2024), retrieved via the Census Reporter API on 2026-09-26. Per-row Source URL links to the Census Reporter profile.</t>
  </si>
  <si>
    <t xml:space="preserve">Homeownership rate</t>
  </si>
  <si>
    <t xml:space="preserve">Owner-occupied units ÷ occupied housing units — the standard Census definition (vacant units excluded). marketSnapshot.ownerShare in Sanity uses this same definition.</t>
  </si>
  <si>
    <t xml:space="preserve">Units in 1-unit detached, 1-unit attached, 2-unit, or 3–4-unit structures ÷ all housing units (vacant included). The stock a cash buyer can actually purchase and assign. Low values (Manhattan, Hudson County, Bronx) signal co-op/condo/large-multifamily markets.</t>
  </si>
  <si>
    <t xml:space="preserve">Owner households with householder aged 65+ ÷ owner-occupied units. Proxy for inherited-property supply.</t>
  </si>
  <si>
    <t xml:space="preserve">Market evidence — not populated (yellow cells)</t>
  </si>
  <si>
    <t xml:space="preserve">Annual homes sold: available at county level from the Redfin Data Center housing-market downloads (https://www.redfin.com/news/data-center/); fill with the trailing-12-month figure and record the period. Investor purchase share: Redfin and ATTOM investor reports use metro or ZIP definitions, not counties; store a value only where the geography matches the row, otherwise leave blank and note the metro figure in Rationale.</t>
  </si>
  <si>
    <t xml:space="preserve">Existing URLs</t>
  </si>
  <si>
    <t xml:space="preserve">Pulled from the live sitemap (https://www.clearedgehomebuyers.com/sitemap.xml) on 2026-09-26: 62 URLs total = 22 location URLs (3 region hubs + 19 city pages), 9 situation pages, 20 blog articles, 11 core pages. /cashoffernj is not in the sitemap. Sitemap absence does not prove page absence: reconcile against Sanity and GSC before the preservation list is final. None of these URLs move.</t>
  </si>
  <si>
    <t xml:space="preserve">Proposed hub URL pattern</t>
  </si>
  <si>
    <t xml:space="preserve">/locations/&lt;state&gt;/&lt;county&gt;-county for counties; /locations/new-york/&lt;borough&gt; for boroughs; /locations/pennsylvania/philadelphia for Philadelphia. Existing region hubs (/locations/nepa, /locations/lehigh-valley, /locations/poconos) remain the parents for the counties they already cover.</t>
  </si>
  <si>
    <t xml:space="preserve">Editable cells</t>
  </si>
  <si>
    <t xml:space="preserve">Tier, Rationale, Build wave, Publish decision, Candidate pages, and the two yellow market-evidence columns are meant to be edited. Census columns should be refreshed from source rather than hand-edited.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</si>
</sst>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"/>
    <numFmt numFmtId="167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F2F2F2"/>
      </patternFill>
    </fill>
    <fill>
      <patternFill patternType="solid">
        <fgColor rgb="FF1F3A5F"/>
        <bgColor rgb="FF333333"/>
      </patternFill>
    </fill>
    <fill>
      <patternFill patternType="solid">
        <fgColor rgb="FFBDD7EE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2F2F2"/>
        <bgColor rgb="FFEDEDED"/>
      </patternFill>
    </fill>
    <fill>
      <patternFill patternType="solid">
        <fgColor rgb="FFDDEBF7"/>
        <bgColor rgb="FFD9E1F2"/>
      </patternFill>
    </fill>
    <fill>
      <patternFill patternType="solid">
        <fgColor rgb="FFFFFFFF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1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1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1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1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DEDED"/>
      <rgbColor rgb="FFF2F2F2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9" min="9" style="0" width="48"/>
    <col collapsed="false" customWidth="true" hidden="false" outlineLevel="0" max="10" min="10" style="0" width="11"/>
    <col collapsed="false" customWidth="true" hidden="false" outlineLevel="0" max="11" min="11" style="0" width="28"/>
    <col collapsed="false" customWidth="true" hidden="false" outlineLevel="0" max="12" min="12" style="0" width="52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9" min="15" style="0" width="12"/>
    <col collapsed="false" customWidth="true" hidden="false" outlineLevel="0" max="20" min="20" style="0" width="11"/>
    <col collapsed="false" customWidth="true" hidden="false" outlineLevel="0" max="21" min="21" style="0" width="12"/>
    <col collapsed="false" customWidth="true" hidden="false" outlineLevel="0" max="22" min="22" style="0" width="11"/>
    <col collapsed="false" customWidth="true" hidden="false" outlineLevel="0" max="25" min="23" style="0" width="14"/>
    <col collapsed="false" customWidth="true" hidden="false" outlineLevel="0" max="26" min="26" style="0" width="70"/>
    <col collapsed="false" customWidth="true" hidden="false" outlineLevel="0" max="27" min="27" style="0" width="30"/>
    <col collapsed="false" customWidth="true" hidden="false" outlineLevel="0" max="28" min="28" style="0" width="22"/>
    <col collapsed="false" customWidth="true" hidden="false" outlineLevel="0" max="29" min="29" style="0" width="44"/>
    <col collapsed="false" customWidth="true" hidden="false" outlineLevel="0" max="30" min="30" style="0" width="60"/>
    <col collapsed="false" customWidth="true" hidden="false" outlineLevel="0" max="31" min="31" style="0" width="52"/>
    <col collapsed="false" customWidth="true" hidden="false" outlineLevel="0" max="32" min="32" style="0" width="34"/>
    <col collapsed="false" customWidth="true" hidden="false" outlineLevel="0" max="33" min="33" style="0" width="5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3" t="s">
        <v>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 t="s">
        <v>3</v>
      </c>
      <c r="AA1" s="4"/>
      <c r="AB1" s="4"/>
      <c r="AC1" s="4"/>
      <c r="AD1" s="5" t="s">
        <v>4</v>
      </c>
      <c r="AE1" s="5"/>
      <c r="AF1" s="5"/>
      <c r="AG1" s="5"/>
    </row>
    <row r="2" customFormat="false" ht="43.5" hidden="false" customHeight="true" outlineLevel="0" collapsed="false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6" t="s">
        <v>19</v>
      </c>
      <c r="P2" s="6" t="s">
        <v>20</v>
      </c>
      <c r="Q2" s="6" t="s">
        <v>21</v>
      </c>
      <c r="R2" s="6" t="s">
        <v>22</v>
      </c>
      <c r="S2" s="6" t="s">
        <v>23</v>
      </c>
      <c r="T2" s="6" t="s">
        <v>24</v>
      </c>
      <c r="U2" s="6" t="s">
        <v>25</v>
      </c>
      <c r="V2" s="6" t="s">
        <v>26</v>
      </c>
      <c r="W2" s="6" t="s">
        <v>27</v>
      </c>
      <c r="X2" s="6" t="s">
        <v>28</v>
      </c>
      <c r="Y2" s="6" t="s">
        <v>29</v>
      </c>
      <c r="Z2" s="6" t="s">
        <v>30</v>
      </c>
      <c r="AA2" s="6" t="s">
        <v>31</v>
      </c>
      <c r="AB2" s="6" t="s">
        <v>32</v>
      </c>
      <c r="AC2" s="6" t="s">
        <v>33</v>
      </c>
      <c r="AD2" s="6" t="s">
        <v>34</v>
      </c>
      <c r="AE2" s="6" t="s">
        <v>35</v>
      </c>
      <c r="AF2" s="6" t="s">
        <v>36</v>
      </c>
      <c r="AG2" s="6" t="s">
        <v>37</v>
      </c>
    </row>
    <row r="3" customFormat="false" ht="57.45" hidden="false" customHeight="false" outlineLevel="0" collapsed="false">
      <c r="A3" s="7" t="s">
        <v>38</v>
      </c>
      <c r="B3" s="7" t="s">
        <v>39</v>
      </c>
      <c r="C3" s="7" t="s">
        <v>40</v>
      </c>
      <c r="D3" s="7" t="s">
        <v>41</v>
      </c>
      <c r="E3" s="7" t="s">
        <v>42</v>
      </c>
      <c r="F3" s="7" t="s">
        <v>43</v>
      </c>
      <c r="G3" s="7"/>
      <c r="H3" s="8" t="s">
        <v>44</v>
      </c>
      <c r="I3" s="7" t="s">
        <v>45</v>
      </c>
      <c r="J3" s="7" t="s">
        <v>46</v>
      </c>
      <c r="K3" s="7" t="s">
        <v>47</v>
      </c>
      <c r="L3" s="7" t="s">
        <v>48</v>
      </c>
      <c r="M3" s="9" t="n">
        <v>378792</v>
      </c>
      <c r="N3" s="10" t="n">
        <v>300400</v>
      </c>
      <c r="O3" s="9" t="n">
        <v>151220</v>
      </c>
      <c r="P3" s="9" t="n">
        <v>144386</v>
      </c>
      <c r="Q3" s="9" t="n">
        <v>94675</v>
      </c>
      <c r="R3" s="11" t="n">
        <f aca="false">IF(AND(ISNUMBER(Q3),P3&gt;0),Q3/P3,"")</f>
        <v>0.655707617081989</v>
      </c>
      <c r="S3" s="9" t="n">
        <v>30127</v>
      </c>
      <c r="T3" s="11" t="n">
        <f aca="false">IF(AND(ISNUMBER(S3),Q3&gt;0),S3/Q3,"")</f>
        <v>0.318214945867441</v>
      </c>
      <c r="U3" s="11" t="n">
        <f aca="false">IF(AND(ISNUMBER(O3),O3&gt;0),125372/O3,"")</f>
        <v>0.829070228805714</v>
      </c>
      <c r="V3" s="7" t="n">
        <v>1968</v>
      </c>
      <c r="W3" s="10" t="n">
        <v>80079</v>
      </c>
      <c r="X3" s="12"/>
      <c r="Y3" s="12"/>
      <c r="Z3" s="7" t="s">
        <v>49</v>
      </c>
      <c r="AA3" s="7" t="s">
        <v>50</v>
      </c>
      <c r="AB3" s="7" t="s">
        <v>51</v>
      </c>
      <c r="AC3" s="7" t="s">
        <v>52</v>
      </c>
      <c r="AD3" s="7" t="s">
        <v>53</v>
      </c>
      <c r="AE3" s="7" t="s">
        <v>54</v>
      </c>
      <c r="AF3" s="7" t="s">
        <v>55</v>
      </c>
      <c r="AG3" s="7" t="s">
        <v>56</v>
      </c>
    </row>
    <row r="4" customFormat="false" ht="57.45" hidden="false" customHeight="false" outlineLevel="0" collapsed="false">
      <c r="A4" s="7" t="s">
        <v>38</v>
      </c>
      <c r="B4" s="7" t="s">
        <v>39</v>
      </c>
      <c r="C4" s="7" t="s">
        <v>57</v>
      </c>
      <c r="D4" s="7" t="s">
        <v>58</v>
      </c>
      <c r="E4" s="7" t="s">
        <v>59</v>
      </c>
      <c r="F4" s="7" t="s">
        <v>43</v>
      </c>
      <c r="G4" s="7"/>
      <c r="H4" s="8" t="s">
        <v>44</v>
      </c>
      <c r="I4" s="7" t="s">
        <v>60</v>
      </c>
      <c r="J4" s="7" t="s">
        <v>46</v>
      </c>
      <c r="K4" s="7" t="s">
        <v>47</v>
      </c>
      <c r="L4" s="7" t="s">
        <v>48</v>
      </c>
      <c r="M4" s="9" t="n">
        <v>318580</v>
      </c>
      <c r="N4" s="10" t="n">
        <v>308600</v>
      </c>
      <c r="O4" s="9" t="n">
        <v>129448</v>
      </c>
      <c r="P4" s="9" t="n">
        <v>122624</v>
      </c>
      <c r="Q4" s="9" t="n">
        <v>87201</v>
      </c>
      <c r="R4" s="11" t="n">
        <f aca="false">IF(AND(ISNUMBER(Q4),P4&gt;0),Q4/P4,"")</f>
        <v>0.711125065240084</v>
      </c>
      <c r="S4" s="9" t="n">
        <v>30618</v>
      </c>
      <c r="T4" s="11" t="n">
        <f aca="false">IF(AND(ISNUMBER(S4),Q4&gt;0),S4/Q4,"")</f>
        <v>0.351119826607493</v>
      </c>
      <c r="U4" s="11" t="n">
        <f aca="false">IF(AND(ISNUMBER(O4),O4&gt;0),112147/O4,"")</f>
        <v>0.866347877139855</v>
      </c>
      <c r="V4" s="7" t="n">
        <v>1971</v>
      </c>
      <c r="W4" s="10" t="n">
        <v>89184</v>
      </c>
      <c r="X4" s="12"/>
      <c r="Y4" s="12"/>
      <c r="Z4" s="7" t="s">
        <v>49</v>
      </c>
      <c r="AA4" s="7" t="s">
        <v>50</v>
      </c>
      <c r="AB4" s="7" t="s">
        <v>51</v>
      </c>
      <c r="AC4" s="7" t="s">
        <v>61</v>
      </c>
      <c r="AD4" s="7" t="s">
        <v>62</v>
      </c>
      <c r="AE4" s="7" t="s">
        <v>63</v>
      </c>
      <c r="AF4" s="7" t="s">
        <v>55</v>
      </c>
      <c r="AG4" s="7" t="s">
        <v>64</v>
      </c>
    </row>
    <row r="5" customFormat="false" ht="57.45" hidden="false" customHeight="false" outlineLevel="0" collapsed="false">
      <c r="A5" s="7" t="s">
        <v>38</v>
      </c>
      <c r="B5" s="7" t="s">
        <v>65</v>
      </c>
      <c r="C5" s="7" t="s">
        <v>66</v>
      </c>
      <c r="D5" s="7" t="s">
        <v>67</v>
      </c>
      <c r="E5" s="7" t="s">
        <v>68</v>
      </c>
      <c r="F5" s="7" t="s">
        <v>43</v>
      </c>
      <c r="G5" s="7"/>
      <c r="H5" s="8" t="s">
        <v>44</v>
      </c>
      <c r="I5" s="7" t="s">
        <v>69</v>
      </c>
      <c r="J5" s="7" t="s">
        <v>46</v>
      </c>
      <c r="K5" s="7" t="s">
        <v>47</v>
      </c>
      <c r="L5" s="7" t="s">
        <v>48</v>
      </c>
      <c r="M5" s="9" t="n">
        <v>433015</v>
      </c>
      <c r="N5" s="10" t="n">
        <v>257300</v>
      </c>
      <c r="O5" s="9" t="n">
        <v>171580</v>
      </c>
      <c r="P5" s="9" t="n">
        <v>163236</v>
      </c>
      <c r="Q5" s="9" t="n">
        <v>116334</v>
      </c>
      <c r="R5" s="11" t="n">
        <f aca="false">IF(AND(ISNUMBER(Q5),P5&gt;0),Q5/P5,"")</f>
        <v>0.712673674924649</v>
      </c>
      <c r="S5" s="9" t="n">
        <v>37215</v>
      </c>
      <c r="T5" s="11" t="n">
        <f aca="false">IF(AND(ISNUMBER(S5),Q5&gt;0),S5/Q5,"")</f>
        <v>0.319897880241374</v>
      </c>
      <c r="U5" s="11" t="n">
        <f aca="false">IF(AND(ISNUMBER(O5),O5&gt;0),149447/O5,"")</f>
        <v>0.871004779111785</v>
      </c>
      <c r="V5" s="7" t="n">
        <v>1969</v>
      </c>
      <c r="W5" s="10" t="n">
        <v>79777</v>
      </c>
      <c r="X5" s="12"/>
      <c r="Y5" s="12"/>
      <c r="Z5" s="7" t="s">
        <v>49</v>
      </c>
      <c r="AA5" s="7" t="s">
        <v>50</v>
      </c>
      <c r="AB5" s="7" t="s">
        <v>51</v>
      </c>
      <c r="AC5" s="7" t="s">
        <v>70</v>
      </c>
      <c r="AD5" s="7" t="s">
        <v>71</v>
      </c>
      <c r="AE5" s="7" t="s">
        <v>72</v>
      </c>
      <c r="AF5" s="7" t="s">
        <v>73</v>
      </c>
      <c r="AG5" s="7" t="s">
        <v>74</v>
      </c>
    </row>
    <row r="6" customFormat="false" ht="57.45" hidden="false" customHeight="false" outlineLevel="0" collapsed="false">
      <c r="A6" s="7" t="s">
        <v>38</v>
      </c>
      <c r="B6" s="7" t="s">
        <v>75</v>
      </c>
      <c r="C6" s="7" t="s">
        <v>76</v>
      </c>
      <c r="D6" s="7" t="s">
        <v>77</v>
      </c>
      <c r="E6" s="7" t="s">
        <v>78</v>
      </c>
      <c r="F6" s="7" t="s">
        <v>43</v>
      </c>
      <c r="G6" s="7"/>
      <c r="H6" s="8" t="s">
        <v>44</v>
      </c>
      <c r="I6" s="7" t="s">
        <v>79</v>
      </c>
      <c r="J6" s="7" t="s">
        <v>46</v>
      </c>
      <c r="K6" s="7" t="s">
        <v>47</v>
      </c>
      <c r="L6" s="7" t="s">
        <v>48</v>
      </c>
      <c r="M6" s="9" t="n">
        <v>216146</v>
      </c>
      <c r="N6" s="10" t="n">
        <v>201800</v>
      </c>
      <c r="O6" s="9" t="n">
        <v>100177</v>
      </c>
      <c r="P6" s="9" t="n">
        <v>88263</v>
      </c>
      <c r="Q6" s="9" t="n">
        <v>57744</v>
      </c>
      <c r="R6" s="11" t="n">
        <f aca="false">IF(AND(ISNUMBER(Q6),P6&gt;0),Q6/P6,"")</f>
        <v>0.654226572856123</v>
      </c>
      <c r="S6" s="9" t="n">
        <v>20966</v>
      </c>
      <c r="T6" s="11" t="n">
        <f aca="false">IF(AND(ISNUMBER(S6),Q6&gt;0),S6/Q6,"")</f>
        <v>0.363085342200055</v>
      </c>
      <c r="U6" s="11" t="n">
        <f aca="false">IF(AND(ISNUMBER(O6),O6&gt;0),89089/O6,"")</f>
        <v>0.889315910837817</v>
      </c>
      <c r="V6" s="7" t="n">
        <v>1955</v>
      </c>
      <c r="W6" s="10" t="n">
        <v>66223</v>
      </c>
      <c r="X6" s="12"/>
      <c r="Y6" s="12"/>
      <c r="Z6" s="7" t="s">
        <v>49</v>
      </c>
      <c r="AA6" s="7" t="s">
        <v>50</v>
      </c>
      <c r="AB6" s="7" t="s">
        <v>51</v>
      </c>
      <c r="AC6" s="7" t="s">
        <v>80</v>
      </c>
      <c r="AD6" s="7" t="s">
        <v>81</v>
      </c>
      <c r="AE6" s="7" t="s">
        <v>82</v>
      </c>
      <c r="AF6" s="7" t="s">
        <v>83</v>
      </c>
      <c r="AG6" s="7" t="s">
        <v>84</v>
      </c>
    </row>
    <row r="7" customFormat="false" ht="68.65" hidden="false" customHeight="false" outlineLevel="0" collapsed="false">
      <c r="A7" s="7" t="s">
        <v>38</v>
      </c>
      <c r="B7" s="7" t="s">
        <v>75</v>
      </c>
      <c r="C7" s="7" t="s">
        <v>85</v>
      </c>
      <c r="D7" s="7" t="s">
        <v>86</v>
      </c>
      <c r="E7" s="7" t="s">
        <v>87</v>
      </c>
      <c r="F7" s="7" t="s">
        <v>43</v>
      </c>
      <c r="G7" s="7"/>
      <c r="H7" s="8" t="s">
        <v>44</v>
      </c>
      <c r="I7" s="7" t="s">
        <v>88</v>
      </c>
      <c r="J7" s="7" t="s">
        <v>46</v>
      </c>
      <c r="K7" s="7" t="s">
        <v>47</v>
      </c>
      <c r="L7" s="7" t="s">
        <v>48</v>
      </c>
      <c r="M7" s="9" t="n">
        <v>327675</v>
      </c>
      <c r="N7" s="10" t="n">
        <v>174100</v>
      </c>
      <c r="O7" s="9" t="n">
        <v>151287</v>
      </c>
      <c r="P7" s="9" t="n">
        <v>135055</v>
      </c>
      <c r="Q7" s="9" t="n">
        <v>91565</v>
      </c>
      <c r="R7" s="11" t="n">
        <f aca="false">IF(AND(ISNUMBER(Q7),P7&gt;0),Q7/P7,"")</f>
        <v>0.677983043945059</v>
      </c>
      <c r="S7" s="9" t="n">
        <v>32913</v>
      </c>
      <c r="T7" s="11" t="n">
        <f aca="false">IF(AND(ISNUMBER(S7),Q7&gt;0),S7/Q7,"")</f>
        <v>0.359449571342762</v>
      </c>
      <c r="U7" s="11" t="n">
        <f aca="false">IF(AND(ISNUMBER(O7),O7&gt;0),134308/O7,"")</f>
        <v>0.887769603468903</v>
      </c>
      <c r="V7" s="7" t="n">
        <v>1960</v>
      </c>
      <c r="W7" s="10" t="n">
        <v>63691</v>
      </c>
      <c r="X7" s="12"/>
      <c r="Y7" s="12"/>
      <c r="Z7" s="7" t="s">
        <v>49</v>
      </c>
      <c r="AA7" s="7" t="s">
        <v>50</v>
      </c>
      <c r="AB7" s="7" t="s">
        <v>51</v>
      </c>
      <c r="AC7" s="7" t="s">
        <v>89</v>
      </c>
      <c r="AD7" s="7" t="s">
        <v>90</v>
      </c>
      <c r="AE7" s="7" t="s">
        <v>91</v>
      </c>
      <c r="AF7" s="7" t="s">
        <v>83</v>
      </c>
      <c r="AG7" s="7" t="s">
        <v>92</v>
      </c>
    </row>
    <row r="8" customFormat="false" ht="57.45" hidden="false" customHeight="false" outlineLevel="0" collapsed="false">
      <c r="A8" s="7" t="s">
        <v>38</v>
      </c>
      <c r="B8" s="7" t="s">
        <v>93</v>
      </c>
      <c r="C8" s="7" t="s">
        <v>94</v>
      </c>
      <c r="D8" s="7" t="s">
        <v>95</v>
      </c>
      <c r="E8" s="7" t="s">
        <v>96</v>
      </c>
      <c r="F8" s="7" t="s">
        <v>43</v>
      </c>
      <c r="G8" s="7"/>
      <c r="H8" s="8" t="s">
        <v>44</v>
      </c>
      <c r="I8" s="7" t="s">
        <v>97</v>
      </c>
      <c r="J8" s="7" t="s">
        <v>46</v>
      </c>
      <c r="K8" s="7" t="s">
        <v>47</v>
      </c>
      <c r="L8" s="7" t="s">
        <v>48</v>
      </c>
      <c r="M8" s="9" t="n">
        <v>167515</v>
      </c>
      <c r="N8" s="10" t="n">
        <v>267600</v>
      </c>
      <c r="O8" s="9" t="n">
        <v>79607</v>
      </c>
      <c r="P8" s="9" t="n">
        <v>61212</v>
      </c>
      <c r="Q8" s="9" t="n">
        <v>49111</v>
      </c>
      <c r="R8" s="11" t="n">
        <f aca="false">IF(AND(ISNUMBER(Q8),P8&gt;0),Q8/P8,"")</f>
        <v>0.802310004574267</v>
      </c>
      <c r="S8" s="9" t="n">
        <v>16053</v>
      </c>
      <c r="T8" s="11" t="n">
        <f aca="false">IF(AND(ISNUMBER(S8),Q8&gt;0),S8/Q8,"")</f>
        <v>0.326871780252897</v>
      </c>
      <c r="U8" s="11" t="n">
        <f aca="false">IF(AND(ISNUMBER(O8),O8&gt;0),74307/O8,"")</f>
        <v>0.933422940193702</v>
      </c>
      <c r="V8" s="7" t="n">
        <v>1984</v>
      </c>
      <c r="W8" s="10" t="n">
        <v>83565</v>
      </c>
      <c r="X8" s="12"/>
      <c r="Y8" s="12"/>
      <c r="Z8" s="7" t="s">
        <v>49</v>
      </c>
      <c r="AA8" s="7" t="s">
        <v>50</v>
      </c>
      <c r="AB8" s="7" t="s">
        <v>51</v>
      </c>
      <c r="AC8" s="7" t="s">
        <v>98</v>
      </c>
      <c r="AD8" s="7" t="s">
        <v>99</v>
      </c>
      <c r="AE8" s="7" t="s">
        <v>100</v>
      </c>
      <c r="AF8" s="7" t="s">
        <v>101</v>
      </c>
      <c r="AG8" s="7" t="s">
        <v>102</v>
      </c>
    </row>
    <row r="9" customFormat="false" ht="57.45" hidden="false" customHeight="false" outlineLevel="0" collapsed="false">
      <c r="A9" s="7" t="s">
        <v>38</v>
      </c>
      <c r="B9" s="7" t="s">
        <v>75</v>
      </c>
      <c r="C9" s="7" t="s">
        <v>103</v>
      </c>
      <c r="D9" s="7" t="s">
        <v>104</v>
      </c>
      <c r="E9" s="7" t="s">
        <v>105</v>
      </c>
      <c r="F9" s="7" t="s">
        <v>43</v>
      </c>
      <c r="G9" s="7"/>
      <c r="H9" s="8" t="s">
        <v>44</v>
      </c>
      <c r="I9" s="7" t="s">
        <v>106</v>
      </c>
      <c r="J9" s="7" t="s">
        <v>46</v>
      </c>
      <c r="K9" s="7" t="s">
        <v>47</v>
      </c>
      <c r="L9" s="7" t="s">
        <v>48</v>
      </c>
      <c r="M9" s="9" t="n">
        <v>143558</v>
      </c>
      <c r="N9" s="10" t="n">
        <v>153000</v>
      </c>
      <c r="O9" s="9" t="n">
        <v>67295</v>
      </c>
      <c r="P9" s="9" t="n">
        <v>57988</v>
      </c>
      <c r="Q9" s="9" t="n">
        <v>44125</v>
      </c>
      <c r="R9" s="11" t="n">
        <f aca="false">IF(AND(ISNUMBER(Q9),P9&gt;0),Q9/P9,"")</f>
        <v>0.760933296544113</v>
      </c>
      <c r="S9" s="9" t="n">
        <v>15148</v>
      </c>
      <c r="T9" s="11" t="n">
        <f aca="false">IF(AND(ISNUMBER(S9),Q9&gt;0),S9/Q9,"")</f>
        <v>0.343297450424929</v>
      </c>
      <c r="U9" s="11" t="n">
        <f aca="false">IF(AND(ISNUMBER(O9),O9&gt;0),60761/O9,"")</f>
        <v>0.902905119251059</v>
      </c>
      <c r="V9" s="7" t="n">
        <v>1946</v>
      </c>
      <c r="W9" s="10" t="n">
        <v>68313</v>
      </c>
      <c r="X9" s="12"/>
      <c r="Y9" s="12"/>
      <c r="Z9" s="7" t="s">
        <v>49</v>
      </c>
      <c r="AA9" s="7" t="s">
        <v>50</v>
      </c>
      <c r="AB9" s="7" t="s">
        <v>51</v>
      </c>
      <c r="AC9" s="7" t="s">
        <v>107</v>
      </c>
      <c r="AD9" s="7" t="s">
        <v>108</v>
      </c>
      <c r="AE9" s="7" t="s">
        <v>109</v>
      </c>
      <c r="AF9" s="7" t="s">
        <v>83</v>
      </c>
      <c r="AG9" s="7" t="s">
        <v>110</v>
      </c>
    </row>
    <row r="10" customFormat="false" ht="57.45" hidden="false" customHeight="false" outlineLevel="0" collapsed="false">
      <c r="A10" s="7" t="s">
        <v>38</v>
      </c>
      <c r="B10" s="7" t="s">
        <v>75</v>
      </c>
      <c r="C10" s="7" t="s">
        <v>111</v>
      </c>
      <c r="D10" s="7" t="s">
        <v>112</v>
      </c>
      <c r="E10" s="7" t="s">
        <v>113</v>
      </c>
      <c r="F10" s="7" t="s">
        <v>43</v>
      </c>
      <c r="G10" s="7"/>
      <c r="H10" s="8" t="s">
        <v>44</v>
      </c>
      <c r="I10" s="7" t="s">
        <v>114</v>
      </c>
      <c r="J10" s="7" t="s">
        <v>46</v>
      </c>
      <c r="K10" s="7" t="s">
        <v>47</v>
      </c>
      <c r="L10" s="7" t="s">
        <v>48</v>
      </c>
      <c r="M10" s="9" t="n">
        <v>51262</v>
      </c>
      <c r="N10" s="10" t="n">
        <v>242100</v>
      </c>
      <c r="O10" s="9" t="n">
        <v>32171</v>
      </c>
      <c r="P10" s="9" t="n">
        <v>20877</v>
      </c>
      <c r="Q10" s="9" t="n">
        <v>16811</v>
      </c>
      <c r="R10" s="11" t="n">
        <f aca="false">IF(AND(ISNUMBER(Q10),P10&gt;0),Q10/P10,"")</f>
        <v>0.805240216506203</v>
      </c>
      <c r="S10" s="9" t="n">
        <v>7146</v>
      </c>
      <c r="T10" s="11" t="n">
        <f aca="false">IF(AND(ISNUMBER(S10),Q10&gt;0),S10/Q10,"")</f>
        <v>0.425078817440961</v>
      </c>
      <c r="U10" s="11" t="n">
        <f aca="false">IF(AND(ISNUMBER(O10),O10&gt;0),28742/O10,"")</f>
        <v>0.893413322557583</v>
      </c>
      <c r="V10" s="7" t="n">
        <v>1980</v>
      </c>
      <c r="W10" s="10" t="n">
        <v>62381</v>
      </c>
      <c r="X10" s="12"/>
      <c r="Y10" s="12"/>
      <c r="Z10" s="7" t="s">
        <v>49</v>
      </c>
      <c r="AA10" s="7" t="s">
        <v>50</v>
      </c>
      <c r="AB10" s="7" t="s">
        <v>51</v>
      </c>
      <c r="AC10" s="7" t="s">
        <v>115</v>
      </c>
      <c r="AD10" s="7" t="s">
        <v>116</v>
      </c>
      <c r="AE10" s="7" t="s">
        <v>117</v>
      </c>
      <c r="AF10" s="7" t="s">
        <v>83</v>
      </c>
      <c r="AG10" s="7" t="s">
        <v>118</v>
      </c>
    </row>
    <row r="11" customFormat="false" ht="57.45" hidden="false" customHeight="false" outlineLevel="0" collapsed="false">
      <c r="A11" s="7" t="s">
        <v>38</v>
      </c>
      <c r="B11" s="7" t="s">
        <v>75</v>
      </c>
      <c r="C11" s="7" t="s">
        <v>119</v>
      </c>
      <c r="D11" s="7" t="s">
        <v>120</v>
      </c>
      <c r="E11" s="7" t="s">
        <v>121</v>
      </c>
      <c r="F11" s="7" t="s">
        <v>43</v>
      </c>
      <c r="G11" s="7"/>
      <c r="H11" s="8" t="s">
        <v>44</v>
      </c>
      <c r="I11" s="7" t="s">
        <v>122</v>
      </c>
      <c r="J11" s="7" t="s">
        <v>46</v>
      </c>
      <c r="K11" s="7" t="s">
        <v>47</v>
      </c>
      <c r="L11" s="7" t="s">
        <v>48</v>
      </c>
      <c r="M11" s="9" t="n">
        <v>65362</v>
      </c>
      <c r="N11" s="10" t="n">
        <v>206200</v>
      </c>
      <c r="O11" s="9" t="n">
        <v>29824</v>
      </c>
      <c r="P11" s="9" t="n">
        <v>26350</v>
      </c>
      <c r="Q11" s="9" t="n">
        <v>18313</v>
      </c>
      <c r="R11" s="11" t="n">
        <f aca="false">IF(AND(ISNUMBER(Q11),P11&gt;0),Q11/P11,"")</f>
        <v>0.694990512333966</v>
      </c>
      <c r="S11" s="9" t="n">
        <v>6556</v>
      </c>
      <c r="T11" s="11" t="n">
        <f aca="false">IF(AND(ISNUMBER(S11),Q11&gt;0),S11/Q11,"")</f>
        <v>0.357997051275051</v>
      </c>
      <c r="U11" s="11" t="n">
        <f aca="false">IF(AND(ISNUMBER(O11),O11&gt;0),25133/O11,"")</f>
        <v>0.842710568669528</v>
      </c>
      <c r="V11" s="7" t="n">
        <v>1970</v>
      </c>
      <c r="W11" s="10" t="n">
        <v>64644</v>
      </c>
      <c r="X11" s="12"/>
      <c r="Y11" s="12"/>
      <c r="Z11" s="7" t="s">
        <v>49</v>
      </c>
      <c r="AA11" s="7" t="s">
        <v>50</v>
      </c>
      <c r="AB11" s="7" t="s">
        <v>51</v>
      </c>
      <c r="AC11" s="7" t="s">
        <v>123</v>
      </c>
      <c r="AD11" s="7" t="s">
        <v>124</v>
      </c>
      <c r="AE11" s="7" t="s">
        <v>125</v>
      </c>
      <c r="AF11" s="7" t="s">
        <v>83</v>
      </c>
      <c r="AG11" s="7" t="s">
        <v>126</v>
      </c>
    </row>
    <row r="12" customFormat="false" ht="57.45" hidden="false" customHeight="false" outlineLevel="0" collapsed="false">
      <c r="A12" s="7" t="s">
        <v>38</v>
      </c>
      <c r="B12" s="7" t="s">
        <v>127</v>
      </c>
      <c r="C12" s="7" t="s">
        <v>128</v>
      </c>
      <c r="D12" s="7" t="s">
        <v>129</v>
      </c>
      <c r="E12" s="7" t="s">
        <v>130</v>
      </c>
      <c r="F12" s="7" t="s">
        <v>43</v>
      </c>
      <c r="G12" s="7"/>
      <c r="H12" s="13" t="s">
        <v>131</v>
      </c>
      <c r="I12" s="7" t="s">
        <v>132</v>
      </c>
      <c r="J12" s="7" t="s">
        <v>46</v>
      </c>
      <c r="K12" s="7" t="s">
        <v>133</v>
      </c>
      <c r="L12" s="7" t="s">
        <v>134</v>
      </c>
      <c r="M12" s="9" t="n">
        <v>867573</v>
      </c>
      <c r="N12" s="10" t="n">
        <v>436700</v>
      </c>
      <c r="O12" s="9" t="n">
        <v>350351</v>
      </c>
      <c r="P12" s="9" t="n">
        <v>335505</v>
      </c>
      <c r="Q12" s="9" t="n">
        <v>239495</v>
      </c>
      <c r="R12" s="11" t="n">
        <f aca="false">IF(AND(ISNUMBER(Q12),P12&gt;0),Q12/P12,"")</f>
        <v>0.713834369085409</v>
      </c>
      <c r="S12" s="9" t="n">
        <v>74564</v>
      </c>
      <c r="T12" s="11" t="n">
        <f aca="false">IF(AND(ISNUMBER(S12),Q12&gt;0),S12/Q12,"")</f>
        <v>0.311338441303576</v>
      </c>
      <c r="U12" s="11" t="n">
        <f aca="false">IF(AND(ISNUMBER(O12),O12&gt;0),280550/O12,"")</f>
        <v>0.800768372289504</v>
      </c>
      <c r="V12" s="7" t="n">
        <v>1971</v>
      </c>
      <c r="W12" s="10" t="n">
        <v>113915</v>
      </c>
      <c r="X12" s="12"/>
      <c r="Y12" s="12"/>
      <c r="Z12" s="7" t="s">
        <v>49</v>
      </c>
      <c r="AA12" s="7" t="s">
        <v>50</v>
      </c>
      <c r="AB12" s="7" t="s">
        <v>51</v>
      </c>
      <c r="AC12" s="7" t="s">
        <v>135</v>
      </c>
      <c r="AD12" s="7"/>
      <c r="AE12" s="7" t="s">
        <v>136</v>
      </c>
      <c r="AF12" s="7" t="s">
        <v>73</v>
      </c>
      <c r="AG12" s="7" t="s">
        <v>137</v>
      </c>
    </row>
    <row r="13" customFormat="false" ht="57.45" hidden="false" customHeight="false" outlineLevel="0" collapsed="false">
      <c r="A13" s="7" t="s">
        <v>38</v>
      </c>
      <c r="B13" s="7" t="s">
        <v>127</v>
      </c>
      <c r="C13" s="7" t="s">
        <v>138</v>
      </c>
      <c r="D13" s="7" t="s">
        <v>139</v>
      </c>
      <c r="E13" s="7" t="s">
        <v>140</v>
      </c>
      <c r="F13" s="7" t="s">
        <v>43</v>
      </c>
      <c r="G13" s="7"/>
      <c r="H13" s="13" t="s">
        <v>131</v>
      </c>
      <c r="I13" s="7" t="s">
        <v>141</v>
      </c>
      <c r="J13" s="7" t="s">
        <v>46</v>
      </c>
      <c r="K13" s="7" t="s">
        <v>133</v>
      </c>
      <c r="L13" s="7" t="s">
        <v>134</v>
      </c>
      <c r="M13" s="9" t="n">
        <v>647461</v>
      </c>
      <c r="N13" s="10" t="n">
        <v>445700</v>
      </c>
      <c r="O13" s="9" t="n">
        <v>257260</v>
      </c>
      <c r="P13" s="9" t="n">
        <v>249187</v>
      </c>
      <c r="Q13" s="9" t="n">
        <v>193879</v>
      </c>
      <c r="R13" s="11" t="n">
        <f aca="false">IF(AND(ISNUMBER(Q13),P13&gt;0),Q13/P13,"")</f>
        <v>0.778046206262767</v>
      </c>
      <c r="S13" s="9" t="n">
        <v>64800</v>
      </c>
      <c r="T13" s="11" t="n">
        <f aca="false">IF(AND(ISNUMBER(S13),Q13&gt;0),S13/Q13,"")</f>
        <v>0.334229081024763</v>
      </c>
      <c r="U13" s="11" t="n">
        <f aca="false">IF(AND(ISNUMBER(O13),O13&gt;0),216851/O13,"")</f>
        <v>0.842925445075021</v>
      </c>
      <c r="V13" s="7" t="n">
        <v>1975</v>
      </c>
      <c r="W13" s="10" t="n">
        <v>114764</v>
      </c>
      <c r="X13" s="12"/>
      <c r="Y13" s="12"/>
      <c r="Z13" s="7" t="s">
        <v>49</v>
      </c>
      <c r="AA13" s="7" t="s">
        <v>50</v>
      </c>
      <c r="AB13" s="7" t="s">
        <v>51</v>
      </c>
      <c r="AC13" s="7" t="s">
        <v>142</v>
      </c>
      <c r="AD13" s="7"/>
      <c r="AE13" s="7" t="s">
        <v>143</v>
      </c>
      <c r="AF13" s="7" t="s">
        <v>73</v>
      </c>
      <c r="AG13" s="7" t="s">
        <v>144</v>
      </c>
    </row>
    <row r="14" customFormat="false" ht="57.45" hidden="false" customHeight="false" outlineLevel="0" collapsed="false">
      <c r="A14" s="7" t="s">
        <v>38</v>
      </c>
      <c r="B14" s="7" t="s">
        <v>127</v>
      </c>
      <c r="C14" s="7" t="s">
        <v>145</v>
      </c>
      <c r="D14" s="7" t="s">
        <v>146</v>
      </c>
      <c r="E14" s="7" t="s">
        <v>147</v>
      </c>
      <c r="F14" s="7" t="s">
        <v>43</v>
      </c>
      <c r="G14" s="7"/>
      <c r="H14" s="13" t="s">
        <v>131</v>
      </c>
      <c r="I14" s="7" t="s">
        <v>148</v>
      </c>
      <c r="J14" s="7" t="s">
        <v>46</v>
      </c>
      <c r="K14" s="7" t="s">
        <v>133</v>
      </c>
      <c r="L14" s="7" t="s">
        <v>134</v>
      </c>
      <c r="M14" s="9" t="n">
        <v>579222</v>
      </c>
      <c r="N14" s="10" t="n">
        <v>332200</v>
      </c>
      <c r="O14" s="9" t="n">
        <v>229715</v>
      </c>
      <c r="P14" s="9" t="n">
        <v>216946</v>
      </c>
      <c r="Q14" s="9" t="n">
        <v>151016</v>
      </c>
      <c r="R14" s="11" t="n">
        <f aca="false">IF(AND(ISNUMBER(Q14),P14&gt;0),Q14/P14,"")</f>
        <v>0.696099490195717</v>
      </c>
      <c r="S14" s="9" t="n">
        <v>48992</v>
      </c>
      <c r="T14" s="11" t="n">
        <f aca="false">IF(AND(ISNUMBER(S14),Q14&gt;0),S14/Q14,"")</f>
        <v>0.3244159559252</v>
      </c>
      <c r="U14" s="11" t="n">
        <f aca="false">IF(AND(ISNUMBER(O14),O14&gt;0),193622/O14,"")</f>
        <v>0.842879219902923</v>
      </c>
      <c r="V14" s="7" t="n">
        <v>1957</v>
      </c>
      <c r="W14" s="10" t="n">
        <v>89546</v>
      </c>
      <c r="X14" s="12"/>
      <c r="Y14" s="12"/>
      <c r="Z14" s="7" t="s">
        <v>49</v>
      </c>
      <c r="AA14" s="7" t="s">
        <v>50</v>
      </c>
      <c r="AB14" s="7" t="s">
        <v>51</v>
      </c>
      <c r="AC14" s="7" t="s">
        <v>149</v>
      </c>
      <c r="AD14" s="7"/>
      <c r="AE14" s="7" t="s">
        <v>150</v>
      </c>
      <c r="AF14" s="7" t="s">
        <v>73</v>
      </c>
      <c r="AG14" s="7" t="s">
        <v>151</v>
      </c>
    </row>
    <row r="15" customFormat="false" ht="57.45" hidden="false" customHeight="false" outlineLevel="0" collapsed="false">
      <c r="A15" s="7" t="s">
        <v>38</v>
      </c>
      <c r="B15" s="7" t="s">
        <v>127</v>
      </c>
      <c r="C15" s="7" t="s">
        <v>152</v>
      </c>
      <c r="D15" s="7" t="s">
        <v>153</v>
      </c>
      <c r="E15" s="7" t="s">
        <v>154</v>
      </c>
      <c r="F15" s="7" t="s">
        <v>43</v>
      </c>
      <c r="G15" s="7"/>
      <c r="H15" s="13" t="s">
        <v>131</v>
      </c>
      <c r="I15" s="7" t="s">
        <v>155</v>
      </c>
      <c r="J15" s="7" t="s">
        <v>46</v>
      </c>
      <c r="K15" s="7" t="s">
        <v>133</v>
      </c>
      <c r="L15" s="7" t="s">
        <v>134</v>
      </c>
      <c r="M15" s="9" t="n">
        <v>547840</v>
      </c>
      <c r="N15" s="10" t="n">
        <v>485600</v>
      </c>
      <c r="O15" s="9" t="n">
        <v>212491</v>
      </c>
      <c r="P15" s="9" t="n">
        <v>204774</v>
      </c>
      <c r="Q15" s="9" t="n">
        <v>153693</v>
      </c>
      <c r="R15" s="11" t="n">
        <f aca="false">IF(AND(ISNUMBER(Q15),P15&gt;0),Q15/P15,"")</f>
        <v>0.750549386152539</v>
      </c>
      <c r="S15" s="9" t="n">
        <v>45658</v>
      </c>
      <c r="T15" s="11" t="n">
        <f aca="false">IF(AND(ISNUMBER(S15),Q15&gt;0),S15/Q15,"")</f>
        <v>0.297072735908597</v>
      </c>
      <c r="U15" s="11" t="n">
        <f aca="false">IF(AND(ISNUMBER(O15),O15&gt;0),177660/O15,"")</f>
        <v>0.836082469375174</v>
      </c>
      <c r="V15" s="7" t="n">
        <v>1983</v>
      </c>
      <c r="W15" s="10" t="n">
        <v>127208</v>
      </c>
      <c r="X15" s="12"/>
      <c r="Y15" s="12"/>
      <c r="Z15" s="7" t="s">
        <v>49</v>
      </c>
      <c r="AA15" s="7" t="s">
        <v>50</v>
      </c>
      <c r="AB15" s="7" t="s">
        <v>51</v>
      </c>
      <c r="AC15" s="7" t="s">
        <v>156</v>
      </c>
      <c r="AD15" s="7"/>
      <c r="AE15" s="7" t="s">
        <v>157</v>
      </c>
      <c r="AF15" s="7" t="s">
        <v>73</v>
      </c>
      <c r="AG15" s="7" t="s">
        <v>158</v>
      </c>
    </row>
    <row r="16" customFormat="false" ht="57.45" hidden="false" customHeight="false" outlineLevel="0" collapsed="false">
      <c r="A16" s="7" t="s">
        <v>38</v>
      </c>
      <c r="B16" s="7" t="s">
        <v>159</v>
      </c>
      <c r="C16" s="7" t="s">
        <v>160</v>
      </c>
      <c r="D16" s="7" t="s">
        <v>161</v>
      </c>
      <c r="E16" s="7" t="s">
        <v>162</v>
      </c>
      <c r="F16" s="7" t="s">
        <v>43</v>
      </c>
      <c r="G16" s="7"/>
      <c r="H16" s="13" t="s">
        <v>131</v>
      </c>
      <c r="I16" s="7" t="s">
        <v>163</v>
      </c>
      <c r="J16" s="7" t="s">
        <v>46</v>
      </c>
      <c r="K16" s="7" t="s">
        <v>133</v>
      </c>
      <c r="L16" s="7" t="s">
        <v>134</v>
      </c>
      <c r="M16" s="9" t="n">
        <v>1579706</v>
      </c>
      <c r="N16" s="10" t="n">
        <v>243100</v>
      </c>
      <c r="O16" s="9" t="n">
        <v>748270</v>
      </c>
      <c r="P16" s="9" t="n">
        <v>679428</v>
      </c>
      <c r="Q16" s="9" t="n">
        <v>351905</v>
      </c>
      <c r="R16" s="11" t="n">
        <f aca="false">IF(AND(ISNUMBER(Q16),P16&gt;0),Q16/P16,"")</f>
        <v>0.517943034434848</v>
      </c>
      <c r="S16" s="9" t="n">
        <v>110007</v>
      </c>
      <c r="T16" s="11" t="n">
        <f aca="false">IF(AND(ISNUMBER(S16),Q16&gt;0),S16/Q16,"")</f>
        <v>0.312604253989003</v>
      </c>
      <c r="U16" s="11" t="n">
        <f aca="false">IF(AND(ISNUMBER(O16),O16&gt;0),587076/O16,"")</f>
        <v>0.784577759364935</v>
      </c>
      <c r="V16" s="7" t="n">
        <v>1949</v>
      </c>
      <c r="W16" s="10" t="n">
        <v>61953</v>
      </c>
      <c r="X16" s="12"/>
      <c r="Y16" s="12"/>
      <c r="Z16" s="7" t="s">
        <v>49</v>
      </c>
      <c r="AA16" s="7" t="s">
        <v>50</v>
      </c>
      <c r="AB16" s="7" t="s">
        <v>51</v>
      </c>
      <c r="AC16" s="7" t="s">
        <v>164</v>
      </c>
      <c r="AD16" s="7"/>
      <c r="AE16" s="7" t="s">
        <v>165</v>
      </c>
      <c r="AF16" s="7" t="s">
        <v>73</v>
      </c>
      <c r="AG16" s="7" t="s">
        <v>166</v>
      </c>
    </row>
    <row r="17" customFormat="false" ht="57.45" hidden="false" customHeight="false" outlineLevel="0" collapsed="false">
      <c r="A17" s="7" t="s">
        <v>38</v>
      </c>
      <c r="B17" s="7" t="s">
        <v>167</v>
      </c>
      <c r="C17" s="7" t="s">
        <v>168</v>
      </c>
      <c r="D17" s="7" t="s">
        <v>169</v>
      </c>
      <c r="E17" s="7" t="s">
        <v>170</v>
      </c>
      <c r="F17" s="7" t="s">
        <v>43</v>
      </c>
      <c r="G17" s="7"/>
      <c r="H17" s="14" t="s">
        <v>171</v>
      </c>
      <c r="I17" s="7" t="s">
        <v>172</v>
      </c>
      <c r="J17" s="7" t="s">
        <v>173</v>
      </c>
      <c r="K17" s="7" t="s">
        <v>133</v>
      </c>
      <c r="L17" s="7" t="s">
        <v>174</v>
      </c>
      <c r="M17" s="9" t="n">
        <v>557931</v>
      </c>
      <c r="N17" s="10" t="n">
        <v>301100</v>
      </c>
      <c r="O17" s="9" t="n">
        <v>219224</v>
      </c>
      <c r="P17" s="9" t="n">
        <v>212748</v>
      </c>
      <c r="Q17" s="9" t="n">
        <v>148550</v>
      </c>
      <c r="R17" s="11" t="n">
        <f aca="false">IF(AND(ISNUMBER(Q17),P17&gt;0),Q17/P17,"")</f>
        <v>0.698243931787843</v>
      </c>
      <c r="S17" s="9" t="n">
        <v>48872</v>
      </c>
      <c r="T17" s="11" t="n">
        <f aca="false">IF(AND(ISNUMBER(S17),Q17&gt;0),S17/Q17,"")</f>
        <v>0.328993604846853</v>
      </c>
      <c r="U17" s="11" t="n">
        <f aca="false">IF(AND(ISNUMBER(O17),O17&gt;0),183381/O17,"")</f>
        <v>0.8365005656315</v>
      </c>
      <c r="V17" s="7" t="n">
        <v>1978</v>
      </c>
      <c r="W17" s="10" t="n">
        <v>86959</v>
      </c>
      <c r="X17" s="12"/>
      <c r="Y17" s="12"/>
      <c r="Z17" s="7" t="s">
        <v>49</v>
      </c>
      <c r="AA17" s="7" t="s">
        <v>50</v>
      </c>
      <c r="AB17" s="7" t="s">
        <v>51</v>
      </c>
      <c r="AC17" s="7" t="s">
        <v>175</v>
      </c>
      <c r="AD17" s="7"/>
      <c r="AE17" s="7" t="s">
        <v>176</v>
      </c>
      <c r="AF17" s="7" t="s">
        <v>73</v>
      </c>
      <c r="AG17" s="7" t="s">
        <v>177</v>
      </c>
    </row>
    <row r="18" customFormat="false" ht="57.45" hidden="false" customHeight="false" outlineLevel="0" collapsed="false">
      <c r="A18" s="7" t="s">
        <v>38</v>
      </c>
      <c r="B18" s="7" t="s">
        <v>167</v>
      </c>
      <c r="C18" s="7" t="s">
        <v>178</v>
      </c>
      <c r="D18" s="7" t="s">
        <v>179</v>
      </c>
      <c r="E18" s="7" t="s">
        <v>180</v>
      </c>
      <c r="F18" s="7" t="s">
        <v>43</v>
      </c>
      <c r="G18" s="7"/>
      <c r="H18" s="14" t="s">
        <v>171</v>
      </c>
      <c r="I18" s="7" t="s">
        <v>181</v>
      </c>
      <c r="J18" s="7" t="s">
        <v>173</v>
      </c>
      <c r="K18" s="7" t="s">
        <v>133</v>
      </c>
      <c r="L18" s="7" t="s">
        <v>174</v>
      </c>
      <c r="M18" s="9" t="n">
        <v>462924</v>
      </c>
      <c r="N18" s="10" t="n">
        <v>248600</v>
      </c>
      <c r="O18" s="9" t="n">
        <v>189857</v>
      </c>
      <c r="P18" s="9" t="n">
        <v>181583</v>
      </c>
      <c r="Q18" s="9" t="n">
        <v>138624</v>
      </c>
      <c r="R18" s="11" t="n">
        <f aca="false">IF(AND(ISNUMBER(Q18),P18&gt;0),Q18/P18,"")</f>
        <v>0.763419483101392</v>
      </c>
      <c r="S18" s="9" t="n">
        <v>44040</v>
      </c>
      <c r="T18" s="11" t="n">
        <f aca="false">IF(AND(ISNUMBER(S18),Q18&gt;0),S18/Q18,"")</f>
        <v>0.317693905817175</v>
      </c>
      <c r="U18" s="11" t="n">
        <f aca="false">IF(AND(ISNUMBER(O18),O18&gt;0),167450/O18,"")</f>
        <v>0.881979595168996</v>
      </c>
      <c r="V18" s="7" t="n">
        <v>1976</v>
      </c>
      <c r="W18" s="10" t="n">
        <v>84829</v>
      </c>
      <c r="X18" s="12"/>
      <c r="Y18" s="12"/>
      <c r="Z18" s="7" t="s">
        <v>49</v>
      </c>
      <c r="AA18" s="7" t="s">
        <v>50</v>
      </c>
      <c r="AB18" s="7" t="s">
        <v>51</v>
      </c>
      <c r="AC18" s="7" t="s">
        <v>182</v>
      </c>
      <c r="AD18" s="7"/>
      <c r="AE18" s="7" t="s">
        <v>183</v>
      </c>
      <c r="AF18" s="7" t="s">
        <v>73</v>
      </c>
      <c r="AG18" s="7" t="s">
        <v>184</v>
      </c>
    </row>
    <row r="19" customFormat="false" ht="57.45" hidden="false" customHeight="false" outlineLevel="0" collapsed="false">
      <c r="A19" s="7" t="s">
        <v>38</v>
      </c>
      <c r="B19" s="7" t="s">
        <v>167</v>
      </c>
      <c r="C19" s="7" t="s">
        <v>185</v>
      </c>
      <c r="D19" s="7" t="s">
        <v>186</v>
      </c>
      <c r="E19" s="7" t="s">
        <v>187</v>
      </c>
      <c r="F19" s="7" t="s">
        <v>43</v>
      </c>
      <c r="G19" s="7"/>
      <c r="H19" s="14" t="s">
        <v>171</v>
      </c>
      <c r="I19" s="7" t="s">
        <v>188</v>
      </c>
      <c r="J19" s="7" t="s">
        <v>173</v>
      </c>
      <c r="K19" s="7" t="s">
        <v>133</v>
      </c>
      <c r="L19" s="7" t="s">
        <v>174</v>
      </c>
      <c r="M19" s="9" t="n">
        <v>289593</v>
      </c>
      <c r="N19" s="10" t="n">
        <v>236400</v>
      </c>
      <c r="O19" s="9" t="n">
        <v>127828</v>
      </c>
      <c r="P19" s="9" t="n">
        <v>121358</v>
      </c>
      <c r="Q19" s="9" t="n">
        <v>76556</v>
      </c>
      <c r="R19" s="11" t="n">
        <f aca="false">IF(AND(ISNUMBER(Q19),P19&gt;0),Q19/P19,"")</f>
        <v>0.630827798744211</v>
      </c>
      <c r="S19" s="9" t="n">
        <v>26208</v>
      </c>
      <c r="T19" s="11" t="n">
        <f aca="false">IF(AND(ISNUMBER(S19),Q19&gt;0),S19/Q19,"")</f>
        <v>0.342337635195151</v>
      </c>
      <c r="U19" s="11" t="n">
        <f aca="false">IF(AND(ISNUMBER(O19),O19&gt;0),102328/O19,"")</f>
        <v>0.800513189598523</v>
      </c>
      <c r="V19" s="7" t="n">
        <v>1972</v>
      </c>
      <c r="W19" s="10" t="n">
        <v>76242</v>
      </c>
      <c r="X19" s="12"/>
      <c r="Y19" s="12"/>
      <c r="Z19" s="7" t="s">
        <v>49</v>
      </c>
      <c r="AA19" s="7" t="s">
        <v>50</v>
      </c>
      <c r="AB19" s="7" t="s">
        <v>51</v>
      </c>
      <c r="AC19" s="7" t="s">
        <v>189</v>
      </c>
      <c r="AD19" s="7"/>
      <c r="AE19" s="7" t="s">
        <v>190</v>
      </c>
      <c r="AF19" s="7" t="s">
        <v>73</v>
      </c>
      <c r="AG19" s="7" t="s">
        <v>191</v>
      </c>
    </row>
    <row r="20" customFormat="false" ht="57.45" hidden="false" customHeight="false" outlineLevel="0" collapsed="false">
      <c r="A20" s="7" t="s">
        <v>38</v>
      </c>
      <c r="B20" s="7" t="s">
        <v>167</v>
      </c>
      <c r="C20" s="7" t="s">
        <v>192</v>
      </c>
      <c r="D20" s="7" t="s">
        <v>193</v>
      </c>
      <c r="E20" s="7" t="s">
        <v>194</v>
      </c>
      <c r="F20" s="7" t="s">
        <v>43</v>
      </c>
      <c r="G20" s="7"/>
      <c r="H20" s="14" t="s">
        <v>171</v>
      </c>
      <c r="I20" s="7" t="s">
        <v>195</v>
      </c>
      <c r="J20" s="7" t="s">
        <v>173</v>
      </c>
      <c r="K20" s="7" t="s">
        <v>133</v>
      </c>
      <c r="L20" s="7" t="s">
        <v>174</v>
      </c>
      <c r="M20" s="9" t="n">
        <v>268323</v>
      </c>
      <c r="N20" s="10" t="n">
        <v>277600</v>
      </c>
      <c r="O20" s="9" t="n">
        <v>111278</v>
      </c>
      <c r="P20" s="9" t="n">
        <v>106427</v>
      </c>
      <c r="Q20" s="9" t="n">
        <v>75922</v>
      </c>
      <c r="R20" s="11" t="n">
        <f aca="false">IF(AND(ISNUMBER(Q20),P20&gt;0),Q20/P20,"")</f>
        <v>0.713371606829094</v>
      </c>
      <c r="S20" s="9" t="n">
        <v>24884</v>
      </c>
      <c r="T20" s="11" t="n">
        <f aca="false">IF(AND(ISNUMBER(S20),Q20&gt;0),S20/Q20,"")</f>
        <v>0.327757435262506</v>
      </c>
      <c r="U20" s="11" t="n">
        <f aca="false">IF(AND(ISNUMBER(O20),O20&gt;0),92553/O20,"")</f>
        <v>0.831727744927119</v>
      </c>
      <c r="V20" s="7" t="n">
        <v>1978</v>
      </c>
      <c r="W20" s="10" t="n">
        <v>87494</v>
      </c>
      <c r="X20" s="12"/>
      <c r="Y20" s="12"/>
      <c r="Z20" s="7" t="s">
        <v>49</v>
      </c>
      <c r="AA20" s="7" t="s">
        <v>50</v>
      </c>
      <c r="AB20" s="7" t="s">
        <v>51</v>
      </c>
      <c r="AC20" s="7" t="s">
        <v>196</v>
      </c>
      <c r="AD20" s="7"/>
      <c r="AE20" s="7" t="s">
        <v>197</v>
      </c>
      <c r="AF20" s="7" t="s">
        <v>73</v>
      </c>
      <c r="AG20" s="7" t="s">
        <v>198</v>
      </c>
    </row>
    <row r="21" customFormat="false" ht="57.45" hidden="false" customHeight="false" outlineLevel="0" collapsed="false">
      <c r="A21" s="7" t="s">
        <v>38</v>
      </c>
      <c r="B21" s="7" t="s">
        <v>167</v>
      </c>
      <c r="C21" s="7" t="s">
        <v>199</v>
      </c>
      <c r="D21" s="7" t="s">
        <v>200</v>
      </c>
      <c r="E21" s="7" t="s">
        <v>201</v>
      </c>
      <c r="F21" s="7" t="s">
        <v>43</v>
      </c>
      <c r="G21" s="7"/>
      <c r="H21" s="15" t="s">
        <v>202</v>
      </c>
      <c r="I21" s="7" t="s">
        <v>203</v>
      </c>
      <c r="J21" s="7" t="s">
        <v>204</v>
      </c>
      <c r="K21" s="7" t="s">
        <v>205</v>
      </c>
      <c r="L21" s="7" t="s">
        <v>206</v>
      </c>
      <c r="M21" s="9" t="n">
        <v>144186</v>
      </c>
      <c r="N21" s="10" t="n">
        <v>242000</v>
      </c>
      <c r="O21" s="9" t="n">
        <v>59921</v>
      </c>
      <c r="P21" s="9" t="n">
        <v>56712</v>
      </c>
      <c r="Q21" s="9" t="n">
        <v>40419</v>
      </c>
      <c r="R21" s="11" t="n">
        <f aca="false">IF(AND(ISNUMBER(Q21),P21&gt;0),Q21/P21,"")</f>
        <v>0.7127063055438</v>
      </c>
      <c r="S21" s="9" t="n">
        <v>14144</v>
      </c>
      <c r="T21" s="11" t="n">
        <f aca="false">IF(AND(ISNUMBER(S21),Q21&gt;0),S21/Q21,"")</f>
        <v>0.349934436774784</v>
      </c>
      <c r="U21" s="11" t="n">
        <f aca="false">IF(AND(ISNUMBER(O21),O21&gt;0),51863/O21,"")</f>
        <v>0.865522938535739</v>
      </c>
      <c r="V21" s="7" t="n">
        <v>1972</v>
      </c>
      <c r="W21" s="10" t="n">
        <v>78425</v>
      </c>
      <c r="X21" s="12"/>
      <c r="Y21" s="12"/>
      <c r="Z21" s="7" t="s">
        <v>49</v>
      </c>
      <c r="AA21" s="7" t="s">
        <v>50</v>
      </c>
      <c r="AB21" s="7" t="s">
        <v>51</v>
      </c>
      <c r="AC21" s="7" t="s">
        <v>207</v>
      </c>
      <c r="AD21" s="7"/>
      <c r="AE21" s="7"/>
      <c r="AF21" s="7" t="s">
        <v>73</v>
      </c>
      <c r="AG21" s="7"/>
    </row>
    <row r="22" customFormat="false" ht="57.45" hidden="false" customHeight="false" outlineLevel="0" collapsed="false">
      <c r="A22" s="7" t="s">
        <v>38</v>
      </c>
      <c r="B22" s="7" t="s">
        <v>167</v>
      </c>
      <c r="C22" s="7" t="s">
        <v>208</v>
      </c>
      <c r="D22" s="7" t="s">
        <v>209</v>
      </c>
      <c r="E22" s="7" t="s">
        <v>210</v>
      </c>
      <c r="F22" s="7" t="s">
        <v>43</v>
      </c>
      <c r="G22" s="7"/>
      <c r="H22" s="15" t="s">
        <v>202</v>
      </c>
      <c r="I22" s="7" t="s">
        <v>211</v>
      </c>
      <c r="J22" s="7" t="s">
        <v>204</v>
      </c>
      <c r="K22" s="7" t="s">
        <v>205</v>
      </c>
      <c r="L22" s="7" t="s">
        <v>206</v>
      </c>
      <c r="M22" s="9" t="n">
        <v>106115</v>
      </c>
      <c r="N22" s="10" t="n">
        <v>268500</v>
      </c>
      <c r="O22" s="9" t="n">
        <v>43672</v>
      </c>
      <c r="P22" s="9" t="n">
        <v>40841</v>
      </c>
      <c r="Q22" s="9" t="n">
        <v>32214</v>
      </c>
      <c r="R22" s="11" t="n">
        <f aca="false">IF(AND(ISNUMBER(Q22),P22&gt;0),Q22/P22,"")</f>
        <v>0.788766190837639</v>
      </c>
      <c r="S22" s="9" t="n">
        <v>11766</v>
      </c>
      <c r="T22" s="11" t="n">
        <f aca="false">IF(AND(ISNUMBER(S22),Q22&gt;0),S22/Q22,"")</f>
        <v>0.365244924566958</v>
      </c>
      <c r="U22" s="11" t="n">
        <f aca="false">IF(AND(ISNUMBER(O22),O22&gt;0),39116/O22,"")</f>
        <v>0.895676863894486</v>
      </c>
      <c r="V22" s="7" t="n">
        <v>1980</v>
      </c>
      <c r="W22" s="10" t="n">
        <v>84092</v>
      </c>
      <c r="X22" s="12"/>
      <c r="Y22" s="12"/>
      <c r="Z22" s="7" t="s">
        <v>49</v>
      </c>
      <c r="AA22" s="7" t="s">
        <v>50</v>
      </c>
      <c r="AB22" s="7" t="s">
        <v>51</v>
      </c>
      <c r="AC22" s="7" t="s">
        <v>212</v>
      </c>
      <c r="AD22" s="7"/>
      <c r="AE22" s="7"/>
      <c r="AF22" s="7" t="s">
        <v>73</v>
      </c>
      <c r="AG22" s="7"/>
    </row>
    <row r="23" customFormat="false" ht="57.45" hidden="false" customHeight="false" outlineLevel="0" collapsed="false">
      <c r="A23" s="7" t="s">
        <v>38</v>
      </c>
      <c r="B23" s="7" t="s">
        <v>167</v>
      </c>
      <c r="C23" s="7" t="s">
        <v>213</v>
      </c>
      <c r="D23" s="7" t="s">
        <v>214</v>
      </c>
      <c r="E23" s="7" t="s">
        <v>215</v>
      </c>
      <c r="F23" s="7" t="s">
        <v>43</v>
      </c>
      <c r="G23" s="7"/>
      <c r="H23" s="15" t="s">
        <v>202</v>
      </c>
      <c r="I23" s="7" t="s">
        <v>211</v>
      </c>
      <c r="J23" s="7" t="s">
        <v>204</v>
      </c>
      <c r="K23" s="7" t="s">
        <v>205</v>
      </c>
      <c r="L23" s="7" t="s">
        <v>206</v>
      </c>
      <c r="M23" s="9" t="n">
        <v>157379</v>
      </c>
      <c r="N23" s="10" t="n">
        <v>249800</v>
      </c>
      <c r="O23" s="9" t="n">
        <v>67157</v>
      </c>
      <c r="P23" s="9" t="n">
        <v>63510</v>
      </c>
      <c r="Q23" s="9" t="n">
        <v>46691</v>
      </c>
      <c r="R23" s="11" t="n">
        <f aca="false">IF(AND(ISNUMBER(Q23),P23&gt;0),Q23/P23,"")</f>
        <v>0.73517556290348</v>
      </c>
      <c r="S23" s="9" t="n">
        <v>15698</v>
      </c>
      <c r="T23" s="11" t="n">
        <f aca="false">IF(AND(ISNUMBER(S23),Q23&gt;0),S23/Q23,"")</f>
        <v>0.336210404574757</v>
      </c>
      <c r="U23" s="11" t="n">
        <f aca="false">IF(AND(ISNUMBER(O23),O23&gt;0),58749/O23,"")</f>
        <v>0.874800839823101</v>
      </c>
      <c r="V23" s="7" t="n">
        <v>1978</v>
      </c>
      <c r="W23" s="10" t="n">
        <v>77003</v>
      </c>
      <c r="X23" s="12"/>
      <c r="Y23" s="12"/>
      <c r="Z23" s="7" t="s">
        <v>49</v>
      </c>
      <c r="AA23" s="7" t="s">
        <v>50</v>
      </c>
      <c r="AB23" s="7" t="s">
        <v>51</v>
      </c>
      <c r="AC23" s="7" t="s">
        <v>216</v>
      </c>
      <c r="AD23" s="7"/>
      <c r="AE23" s="7"/>
      <c r="AF23" s="7" t="s">
        <v>73</v>
      </c>
      <c r="AG23" s="7"/>
    </row>
    <row r="24" customFormat="false" ht="57.45" hidden="false" customHeight="false" outlineLevel="0" collapsed="false">
      <c r="A24" s="7" t="s">
        <v>38</v>
      </c>
      <c r="B24" s="7" t="s">
        <v>167</v>
      </c>
      <c r="C24" s="7" t="s">
        <v>217</v>
      </c>
      <c r="D24" s="7" t="s">
        <v>218</v>
      </c>
      <c r="E24" s="7" t="s">
        <v>219</v>
      </c>
      <c r="F24" s="7" t="s">
        <v>43</v>
      </c>
      <c r="G24" s="7"/>
      <c r="H24" s="15" t="s">
        <v>202</v>
      </c>
      <c r="I24" s="7" t="s">
        <v>211</v>
      </c>
      <c r="J24" s="7" t="s">
        <v>204</v>
      </c>
      <c r="K24" s="7" t="s">
        <v>205</v>
      </c>
      <c r="L24" s="7" t="s">
        <v>206</v>
      </c>
      <c r="M24" s="9" t="n">
        <v>46239</v>
      </c>
      <c r="N24" s="10" t="n">
        <v>236400</v>
      </c>
      <c r="O24" s="9" t="n">
        <v>20049</v>
      </c>
      <c r="P24" s="9" t="n">
        <v>18299</v>
      </c>
      <c r="Q24" s="9" t="n">
        <v>14974</v>
      </c>
      <c r="R24" s="11" t="n">
        <f aca="false">IF(AND(ISNUMBER(Q24),P24&gt;0),Q24/P24,"")</f>
        <v>0.818296081753101</v>
      </c>
      <c r="S24" s="9" t="n">
        <v>4878</v>
      </c>
      <c r="T24" s="11" t="n">
        <f aca="false">IF(AND(ISNUMBER(S24),Q24&gt;0),S24/Q24,"")</f>
        <v>0.325764658741819</v>
      </c>
      <c r="U24" s="11" t="n">
        <f aca="false">IF(AND(ISNUMBER(O24),O24&gt;0),17744/O24,"")</f>
        <v>0.885031672402614</v>
      </c>
      <c r="V24" s="7" t="n">
        <v>1976</v>
      </c>
      <c r="W24" s="10" t="n">
        <v>79444</v>
      </c>
      <c r="X24" s="12"/>
      <c r="Y24" s="12"/>
      <c r="Z24" s="7" t="s">
        <v>49</v>
      </c>
      <c r="AA24" s="7" t="s">
        <v>50</v>
      </c>
      <c r="AB24" s="7" t="s">
        <v>51</v>
      </c>
      <c r="AC24" s="7" t="s">
        <v>220</v>
      </c>
      <c r="AD24" s="7"/>
      <c r="AE24" s="7"/>
      <c r="AF24" s="7" t="s">
        <v>73</v>
      </c>
      <c r="AG24" s="7"/>
    </row>
    <row r="25" customFormat="false" ht="57.45" hidden="false" customHeight="false" outlineLevel="0" collapsed="false">
      <c r="A25" s="7" t="s">
        <v>38</v>
      </c>
      <c r="B25" s="7" t="s">
        <v>75</v>
      </c>
      <c r="C25" s="7" t="s">
        <v>221</v>
      </c>
      <c r="D25" s="7" t="s">
        <v>222</v>
      </c>
      <c r="E25" s="7" t="s">
        <v>223</v>
      </c>
      <c r="F25" s="7" t="s">
        <v>43</v>
      </c>
      <c r="G25" s="7"/>
      <c r="H25" s="15" t="s">
        <v>202</v>
      </c>
      <c r="I25" s="7" t="s">
        <v>224</v>
      </c>
      <c r="J25" s="7" t="s">
        <v>204</v>
      </c>
      <c r="K25" s="7" t="s">
        <v>205</v>
      </c>
      <c r="L25" s="7" t="s">
        <v>206</v>
      </c>
      <c r="M25" s="9" t="n">
        <v>65382</v>
      </c>
      <c r="N25" s="10" t="n">
        <v>211400</v>
      </c>
      <c r="O25" s="9" t="n">
        <v>34417</v>
      </c>
      <c r="P25" s="9" t="n">
        <v>27255</v>
      </c>
      <c r="Q25" s="9" t="n">
        <v>20824</v>
      </c>
      <c r="R25" s="11" t="n">
        <f aca="false">IF(AND(ISNUMBER(Q25),P25&gt;0),Q25/P25,"")</f>
        <v>0.764043294808292</v>
      </c>
      <c r="S25" s="9" t="n">
        <v>7864</v>
      </c>
      <c r="T25" s="11" t="n">
        <f aca="false">IF(AND(ISNUMBER(S25),Q25&gt;0),S25/Q25,"")</f>
        <v>0.377641183250096</v>
      </c>
      <c r="U25" s="11" t="n">
        <f aca="false">IF(AND(ISNUMBER(O25),O25&gt;0),31361/O25,"")</f>
        <v>0.911206671121829</v>
      </c>
      <c r="V25" s="7" t="n">
        <v>1972</v>
      </c>
      <c r="W25" s="10" t="n">
        <v>67554</v>
      </c>
      <c r="X25" s="12"/>
      <c r="Y25" s="12"/>
      <c r="Z25" s="7" t="s">
        <v>49</v>
      </c>
      <c r="AA25" s="7" t="s">
        <v>50</v>
      </c>
      <c r="AB25" s="7" t="s">
        <v>51</v>
      </c>
      <c r="AC25" s="7" t="s">
        <v>225</v>
      </c>
      <c r="AD25" s="7"/>
      <c r="AE25" s="7"/>
      <c r="AF25" s="7" t="s">
        <v>101</v>
      </c>
      <c r="AG25" s="7"/>
    </row>
    <row r="26" customFormat="false" ht="57.45" hidden="false" customHeight="false" outlineLevel="0" collapsed="false">
      <c r="A26" s="7" t="s">
        <v>38</v>
      </c>
      <c r="B26" s="7" t="s">
        <v>75</v>
      </c>
      <c r="C26" s="7" t="s">
        <v>226</v>
      </c>
      <c r="D26" s="7" t="s">
        <v>227</v>
      </c>
      <c r="E26" s="7" t="s">
        <v>228</v>
      </c>
      <c r="F26" s="7" t="s">
        <v>43</v>
      </c>
      <c r="G26" s="7"/>
      <c r="H26" s="15" t="s">
        <v>202</v>
      </c>
      <c r="I26" s="7" t="s">
        <v>229</v>
      </c>
      <c r="J26" s="7" t="s">
        <v>204</v>
      </c>
      <c r="K26" s="7" t="s">
        <v>205</v>
      </c>
      <c r="L26" s="7" t="s">
        <v>206</v>
      </c>
      <c r="M26" s="9" t="n">
        <v>60621</v>
      </c>
      <c r="N26" s="10" t="n">
        <v>272600</v>
      </c>
      <c r="O26" s="9" t="n">
        <v>40177</v>
      </c>
      <c r="P26" s="9" t="n">
        <v>24262</v>
      </c>
      <c r="Q26" s="9" t="n">
        <v>21116</v>
      </c>
      <c r="R26" s="11" t="n">
        <f aca="false">IF(AND(ISNUMBER(Q26),P26&gt;0),Q26/P26,"")</f>
        <v>0.870332206743055</v>
      </c>
      <c r="S26" s="9" t="n">
        <v>7822</v>
      </c>
      <c r="T26" s="11" t="n">
        <f aca="false">IF(AND(ISNUMBER(S26),Q26&gt;0),S26/Q26,"")</f>
        <v>0.370430005682894</v>
      </c>
      <c r="U26" s="11" t="n">
        <f aca="false">IF(AND(ISNUMBER(O26),O26&gt;0),37078/O26,"")</f>
        <v>0.922866316549269</v>
      </c>
      <c r="V26" s="7" t="n">
        <v>1985</v>
      </c>
      <c r="W26" s="10" t="n">
        <v>81323</v>
      </c>
      <c r="X26" s="12"/>
      <c r="Y26" s="12"/>
      <c r="Z26" s="7" t="s">
        <v>49</v>
      </c>
      <c r="AA26" s="7" t="s">
        <v>50</v>
      </c>
      <c r="AB26" s="7" t="s">
        <v>51</v>
      </c>
      <c r="AC26" s="7" t="s">
        <v>230</v>
      </c>
      <c r="AD26" s="7"/>
      <c r="AE26" s="7"/>
      <c r="AF26" s="7" t="s">
        <v>101</v>
      </c>
      <c r="AG26" s="7"/>
    </row>
    <row r="27" customFormat="false" ht="57.45" hidden="false" customHeight="false" outlineLevel="0" collapsed="false">
      <c r="A27" s="7" t="s">
        <v>38</v>
      </c>
      <c r="B27" s="7" t="s">
        <v>75</v>
      </c>
      <c r="C27" s="7" t="s">
        <v>231</v>
      </c>
      <c r="D27" s="7" t="s">
        <v>232</v>
      </c>
      <c r="E27" s="7" t="s">
        <v>233</v>
      </c>
      <c r="F27" s="7" t="s">
        <v>43</v>
      </c>
      <c r="G27" s="7"/>
      <c r="H27" s="15" t="s">
        <v>202</v>
      </c>
      <c r="I27" s="7" t="s">
        <v>234</v>
      </c>
      <c r="J27" s="7" t="s">
        <v>204</v>
      </c>
      <c r="K27" s="7" t="s">
        <v>205</v>
      </c>
      <c r="L27" s="7" t="s">
        <v>206</v>
      </c>
      <c r="M27" s="9" t="n">
        <v>25967</v>
      </c>
      <c r="N27" s="10" t="n">
        <v>215400</v>
      </c>
      <c r="O27" s="9" t="n">
        <v>12896</v>
      </c>
      <c r="P27" s="9" t="n">
        <v>10912</v>
      </c>
      <c r="Q27" s="9" t="n">
        <v>8502</v>
      </c>
      <c r="R27" s="11" t="n">
        <f aca="false">IF(AND(ISNUMBER(Q27),P27&gt;0),Q27/P27,"")</f>
        <v>0.779142228739003</v>
      </c>
      <c r="S27" s="9" t="n">
        <v>3307</v>
      </c>
      <c r="T27" s="11" t="n">
        <f aca="false">IF(AND(ISNUMBER(S27),Q27&gt;0),S27/Q27,"")</f>
        <v>0.388967301811339</v>
      </c>
      <c r="U27" s="11" t="n">
        <f aca="false">IF(AND(ISNUMBER(O27),O27&gt;0),11049/O27,"")</f>
        <v>0.85677729528536</v>
      </c>
      <c r="V27" s="7" t="n">
        <v>1974</v>
      </c>
      <c r="W27" s="10" t="n">
        <v>72460</v>
      </c>
      <c r="X27" s="12"/>
      <c r="Y27" s="12"/>
      <c r="Z27" s="7" t="s">
        <v>49</v>
      </c>
      <c r="AA27" s="7" t="s">
        <v>50</v>
      </c>
      <c r="AB27" s="7" t="s">
        <v>51</v>
      </c>
      <c r="AC27" s="7" t="s">
        <v>235</v>
      </c>
      <c r="AD27" s="7"/>
      <c r="AE27" s="7"/>
      <c r="AF27" s="7" t="s">
        <v>83</v>
      </c>
      <c r="AG27" s="7"/>
    </row>
    <row r="28" customFormat="false" ht="57.45" hidden="false" customHeight="false" outlineLevel="0" collapsed="false">
      <c r="A28" s="7" t="s">
        <v>38</v>
      </c>
      <c r="B28" s="7" t="s">
        <v>75</v>
      </c>
      <c r="C28" s="7" t="s">
        <v>236</v>
      </c>
      <c r="D28" s="7" t="s">
        <v>237</v>
      </c>
      <c r="E28" s="7" t="s">
        <v>238</v>
      </c>
      <c r="F28" s="7" t="s">
        <v>43</v>
      </c>
      <c r="G28" s="7"/>
      <c r="H28" s="15" t="s">
        <v>202</v>
      </c>
      <c r="I28" s="7" t="s">
        <v>234</v>
      </c>
      <c r="J28" s="7" t="s">
        <v>204</v>
      </c>
      <c r="K28" s="7" t="s">
        <v>205</v>
      </c>
      <c r="L28" s="7" t="s">
        <v>206</v>
      </c>
      <c r="M28" s="9" t="n">
        <v>38219</v>
      </c>
      <c r="N28" s="10" t="n">
        <v>216400</v>
      </c>
      <c r="O28" s="9" t="n">
        <v>21348</v>
      </c>
      <c r="P28" s="9" t="n">
        <v>15517</v>
      </c>
      <c r="Q28" s="9" t="n">
        <v>12177</v>
      </c>
      <c r="R28" s="11" t="n">
        <f aca="false">IF(AND(ISNUMBER(Q28),P28&gt;0),Q28/P28,"")</f>
        <v>0.784752207256557</v>
      </c>
      <c r="S28" s="9" t="n">
        <v>5045</v>
      </c>
      <c r="T28" s="11" t="n">
        <f aca="false">IF(AND(ISNUMBER(S28),Q28&gt;0),S28/Q28,"")</f>
        <v>0.414305658208097</v>
      </c>
      <c r="U28" s="11" t="n">
        <f aca="false">IF(AND(ISNUMBER(O28),O28&gt;0),18268/O28,"")</f>
        <v>0.855724189619637</v>
      </c>
      <c r="V28" s="7" t="n">
        <v>1975</v>
      </c>
      <c r="W28" s="10" t="n">
        <v>68487</v>
      </c>
      <c r="X28" s="12"/>
      <c r="Y28" s="12"/>
      <c r="Z28" s="7" t="s">
        <v>49</v>
      </c>
      <c r="AA28" s="7" t="s">
        <v>50</v>
      </c>
      <c r="AB28" s="7" t="s">
        <v>51</v>
      </c>
      <c r="AC28" s="7" t="s">
        <v>239</v>
      </c>
      <c r="AD28" s="7"/>
      <c r="AE28" s="7"/>
      <c r="AF28" s="7" t="s">
        <v>83</v>
      </c>
      <c r="AG28" s="7"/>
    </row>
    <row r="29" customFormat="false" ht="57.45" hidden="false" customHeight="false" outlineLevel="0" collapsed="false">
      <c r="A29" s="7" t="s">
        <v>38</v>
      </c>
      <c r="B29" s="7" t="s">
        <v>75</v>
      </c>
      <c r="C29" s="7" t="s">
        <v>240</v>
      </c>
      <c r="D29" s="7" t="s">
        <v>241</v>
      </c>
      <c r="E29" s="7" t="s">
        <v>242</v>
      </c>
      <c r="F29" s="7" t="s">
        <v>43</v>
      </c>
      <c r="G29" s="7"/>
      <c r="H29" s="15" t="s">
        <v>202</v>
      </c>
      <c r="I29" s="7" t="s">
        <v>243</v>
      </c>
      <c r="J29" s="7" t="s">
        <v>204</v>
      </c>
      <c r="K29" s="7" t="s">
        <v>205</v>
      </c>
      <c r="L29" s="7" t="s">
        <v>206</v>
      </c>
      <c r="M29" s="9" t="n">
        <v>90560</v>
      </c>
      <c r="N29" s="10" t="n">
        <v>162400</v>
      </c>
      <c r="O29" s="9" t="n">
        <v>43395</v>
      </c>
      <c r="P29" s="9" t="n">
        <v>37886</v>
      </c>
      <c r="Q29" s="9" t="n">
        <v>28594</v>
      </c>
      <c r="R29" s="11" t="n">
        <f aca="false">IF(AND(ISNUMBER(Q29),P29&gt;0),Q29/P29,"")</f>
        <v>0.754737897904239</v>
      </c>
      <c r="S29" s="9" t="n">
        <v>10406</v>
      </c>
      <c r="T29" s="11" t="n">
        <f aca="false">IF(AND(ISNUMBER(S29),Q29&gt;0),S29/Q29,"")</f>
        <v>0.363922501224033</v>
      </c>
      <c r="U29" s="11" t="n">
        <f aca="false">IF(AND(ISNUMBER(O29),O29&gt;0),38911/O29,"")</f>
        <v>0.896670123286093</v>
      </c>
      <c r="V29" s="7" t="n">
        <v>1954</v>
      </c>
      <c r="W29" s="10" t="n">
        <v>60583</v>
      </c>
      <c r="X29" s="12"/>
      <c r="Y29" s="12"/>
      <c r="Z29" s="7" t="s">
        <v>49</v>
      </c>
      <c r="AA29" s="7" t="s">
        <v>50</v>
      </c>
      <c r="AB29" s="7" t="s">
        <v>51</v>
      </c>
      <c r="AC29" s="7" t="s">
        <v>244</v>
      </c>
      <c r="AD29" s="7"/>
      <c r="AE29" s="7"/>
      <c r="AF29" s="7" t="s">
        <v>73</v>
      </c>
      <c r="AG29" s="7"/>
    </row>
    <row r="30" customFormat="false" ht="57.45" hidden="false" customHeight="false" outlineLevel="0" collapsed="false">
      <c r="A30" s="7" t="s">
        <v>38</v>
      </c>
      <c r="B30" s="7" t="s">
        <v>75</v>
      </c>
      <c r="C30" s="7" t="s">
        <v>245</v>
      </c>
      <c r="D30" s="7" t="s">
        <v>246</v>
      </c>
      <c r="E30" s="7" t="s">
        <v>247</v>
      </c>
      <c r="F30" s="7" t="s">
        <v>43</v>
      </c>
      <c r="G30" s="7"/>
      <c r="H30" s="15" t="s">
        <v>202</v>
      </c>
      <c r="I30" s="7" t="s">
        <v>211</v>
      </c>
      <c r="J30" s="7" t="s">
        <v>204</v>
      </c>
      <c r="K30" s="7" t="s">
        <v>205</v>
      </c>
      <c r="L30" s="7" t="s">
        <v>206</v>
      </c>
      <c r="M30" s="9" t="n">
        <v>59858</v>
      </c>
      <c r="N30" s="10" t="n">
        <v>187500</v>
      </c>
      <c r="O30" s="9" t="n">
        <v>29486</v>
      </c>
      <c r="P30" s="9" t="n">
        <v>24610</v>
      </c>
      <c r="Q30" s="9" t="n">
        <v>17759</v>
      </c>
      <c r="R30" s="11" t="n">
        <f aca="false">IF(AND(ISNUMBER(Q30),P30&gt;0),Q30/P30,"")</f>
        <v>0.721617228768793</v>
      </c>
      <c r="S30" s="9" t="n">
        <v>6904</v>
      </c>
      <c r="T30" s="11" t="n">
        <f aca="false">IF(AND(ISNUMBER(S30),Q30&gt;0),S30/Q30,"")</f>
        <v>0.388760628413762</v>
      </c>
      <c r="U30" s="11" t="n">
        <f aca="false">IF(AND(ISNUMBER(O30),O30&gt;0),23902/O30,"")</f>
        <v>0.810621990096995</v>
      </c>
      <c r="V30" s="7" t="n">
        <v>1969</v>
      </c>
      <c r="W30" s="10" t="n">
        <v>63675</v>
      </c>
      <c r="X30" s="12"/>
      <c r="Y30" s="12"/>
      <c r="Z30" s="7" t="s">
        <v>49</v>
      </c>
      <c r="AA30" s="7" t="s">
        <v>50</v>
      </c>
      <c r="AB30" s="7" t="s">
        <v>51</v>
      </c>
      <c r="AC30" s="7" t="s">
        <v>248</v>
      </c>
      <c r="AD30" s="7"/>
      <c r="AE30" s="7"/>
      <c r="AF30" s="7" t="s">
        <v>73</v>
      </c>
      <c r="AG30" s="7"/>
    </row>
    <row r="31" customFormat="false" ht="57.45" hidden="false" customHeight="false" outlineLevel="0" collapsed="false">
      <c r="A31" s="7" t="s">
        <v>249</v>
      </c>
      <c r="B31" s="7" t="s">
        <v>250</v>
      </c>
      <c r="C31" s="7" t="s">
        <v>251</v>
      </c>
      <c r="D31" s="7" t="s">
        <v>252</v>
      </c>
      <c r="E31" s="7" t="s">
        <v>253</v>
      </c>
      <c r="F31" s="7" t="s">
        <v>43</v>
      </c>
      <c r="G31" s="7"/>
      <c r="H31" s="13" t="s">
        <v>131</v>
      </c>
      <c r="I31" s="7" t="s">
        <v>254</v>
      </c>
      <c r="J31" s="7" t="s">
        <v>255</v>
      </c>
      <c r="K31" s="7" t="s">
        <v>133</v>
      </c>
      <c r="L31" s="7" t="s">
        <v>256</v>
      </c>
      <c r="M31" s="9" t="n">
        <v>962316</v>
      </c>
      <c r="N31" s="10" t="n">
        <v>623000</v>
      </c>
      <c r="O31" s="9" t="n">
        <v>369613</v>
      </c>
      <c r="P31" s="9" t="n">
        <v>355127</v>
      </c>
      <c r="Q31" s="9" t="n">
        <v>232025</v>
      </c>
      <c r="R31" s="11" t="n">
        <f aca="false">IF(AND(ISNUMBER(Q31),P31&gt;0),Q31/P31,"")</f>
        <v>0.653357812838787</v>
      </c>
      <c r="S31" s="9" t="n">
        <v>76468</v>
      </c>
      <c r="T31" s="11" t="n">
        <f aca="false">IF(AND(ISNUMBER(S31),Q31&gt;0),S31/Q31,"")</f>
        <v>0.329567934489818</v>
      </c>
      <c r="U31" s="11" t="n">
        <f aca="false">IF(AND(ISNUMBER(O31),O31&gt;0),285176/O31,"")</f>
        <v>0.771552948624643</v>
      </c>
      <c r="V31" s="7" t="n">
        <v>1960</v>
      </c>
      <c r="W31" s="10" t="n">
        <v>124884</v>
      </c>
      <c r="X31" s="12"/>
      <c r="Y31" s="12"/>
      <c r="Z31" s="7" t="s">
        <v>49</v>
      </c>
      <c r="AA31" s="7" t="s">
        <v>50</v>
      </c>
      <c r="AB31" s="7" t="s">
        <v>51</v>
      </c>
      <c r="AC31" s="7" t="s">
        <v>257</v>
      </c>
      <c r="AD31" s="7"/>
      <c r="AE31" s="7" t="s">
        <v>258</v>
      </c>
      <c r="AF31" s="7" t="s">
        <v>259</v>
      </c>
      <c r="AG31" s="7" t="s">
        <v>260</v>
      </c>
    </row>
    <row r="32" customFormat="false" ht="57.45" hidden="false" customHeight="false" outlineLevel="0" collapsed="false">
      <c r="A32" s="7" t="s">
        <v>249</v>
      </c>
      <c r="B32" s="7" t="s">
        <v>250</v>
      </c>
      <c r="C32" s="7" t="s">
        <v>261</v>
      </c>
      <c r="D32" s="7" t="s">
        <v>262</v>
      </c>
      <c r="E32" s="7" t="s">
        <v>263</v>
      </c>
      <c r="F32" s="7" t="s">
        <v>43</v>
      </c>
      <c r="G32" s="7"/>
      <c r="H32" s="13" t="s">
        <v>131</v>
      </c>
      <c r="I32" s="7" t="s">
        <v>264</v>
      </c>
      <c r="J32" s="7" t="s">
        <v>255</v>
      </c>
      <c r="K32" s="7" t="s">
        <v>133</v>
      </c>
      <c r="L32" s="7" t="s">
        <v>256</v>
      </c>
      <c r="M32" s="9" t="n">
        <v>863002</v>
      </c>
      <c r="N32" s="10" t="n">
        <v>524100</v>
      </c>
      <c r="O32" s="9" t="n">
        <v>336962</v>
      </c>
      <c r="P32" s="9" t="n">
        <v>319788</v>
      </c>
      <c r="Q32" s="9" t="n">
        <v>143579</v>
      </c>
      <c r="R32" s="11" t="n">
        <f aca="false">IF(AND(ISNUMBER(Q32),P32&gt;0),Q32/P32,"")</f>
        <v>0.448981825459367</v>
      </c>
      <c r="S32" s="9" t="n">
        <v>43158</v>
      </c>
      <c r="T32" s="11" t="n">
        <f aca="false">IF(AND(ISNUMBER(S32),Q32&gt;0),S32/Q32,"")</f>
        <v>0.30058713321586</v>
      </c>
      <c r="U32" s="11" t="n">
        <f aca="false">IF(AND(ISNUMBER(O32),O32&gt;0),231292/O32,"")</f>
        <v>0.686403808144539</v>
      </c>
      <c r="V32" s="7" t="n">
        <v>1958</v>
      </c>
      <c r="W32" s="10" t="n">
        <v>80789</v>
      </c>
      <c r="X32" s="12"/>
      <c r="Y32" s="12"/>
      <c r="Z32" s="7" t="s">
        <v>49</v>
      </c>
      <c r="AA32" s="7" t="s">
        <v>50</v>
      </c>
      <c r="AB32" s="7" t="s">
        <v>51</v>
      </c>
      <c r="AC32" s="7" t="s">
        <v>265</v>
      </c>
      <c r="AD32" s="7"/>
      <c r="AE32" s="7" t="s">
        <v>266</v>
      </c>
      <c r="AF32" s="7" t="s">
        <v>259</v>
      </c>
      <c r="AG32" s="7" t="s">
        <v>267</v>
      </c>
    </row>
    <row r="33" customFormat="false" ht="57.45" hidden="false" customHeight="false" outlineLevel="0" collapsed="false">
      <c r="A33" s="7" t="s">
        <v>249</v>
      </c>
      <c r="B33" s="7" t="s">
        <v>250</v>
      </c>
      <c r="C33" s="7" t="s">
        <v>268</v>
      </c>
      <c r="D33" s="7" t="s">
        <v>269</v>
      </c>
      <c r="E33" s="7" t="s">
        <v>270</v>
      </c>
      <c r="F33" s="7" t="s">
        <v>43</v>
      </c>
      <c r="G33" s="7"/>
      <c r="H33" s="13" t="s">
        <v>131</v>
      </c>
      <c r="I33" s="7" t="s">
        <v>271</v>
      </c>
      <c r="J33" s="7" t="s">
        <v>255</v>
      </c>
      <c r="K33" s="7" t="s">
        <v>133</v>
      </c>
      <c r="L33" s="7" t="s">
        <v>256</v>
      </c>
      <c r="M33" s="9" t="n">
        <v>579290</v>
      </c>
      <c r="N33" s="10" t="n">
        <v>529200</v>
      </c>
      <c r="O33" s="9" t="n">
        <v>212385</v>
      </c>
      <c r="P33" s="9" t="n">
        <v>203277</v>
      </c>
      <c r="Q33" s="9" t="n">
        <v>116605</v>
      </c>
      <c r="R33" s="11" t="n">
        <f aca="false">IF(AND(ISNUMBER(Q33),P33&gt;0),Q33/P33,"")</f>
        <v>0.573626135765483</v>
      </c>
      <c r="S33" s="9" t="n">
        <v>34006</v>
      </c>
      <c r="T33" s="11" t="n">
        <f aca="false">IF(AND(ISNUMBER(S33),Q33&gt;0),S33/Q33,"")</f>
        <v>0.29163414947901</v>
      </c>
      <c r="U33" s="11" t="n">
        <f aca="false">IF(AND(ISNUMBER(O33),O33&gt;0),168604/O33,"")</f>
        <v>0.793860206700097</v>
      </c>
      <c r="V33" s="7" t="n">
        <v>1956</v>
      </c>
      <c r="W33" s="10" t="n">
        <v>103202</v>
      </c>
      <c r="X33" s="12"/>
      <c r="Y33" s="12"/>
      <c r="Z33" s="7" t="s">
        <v>49</v>
      </c>
      <c r="AA33" s="7" t="s">
        <v>50</v>
      </c>
      <c r="AB33" s="7" t="s">
        <v>51</v>
      </c>
      <c r="AC33" s="7" t="s">
        <v>272</v>
      </c>
      <c r="AD33" s="7"/>
      <c r="AE33" s="7" t="s">
        <v>273</v>
      </c>
      <c r="AF33" s="7" t="s">
        <v>259</v>
      </c>
      <c r="AG33" s="7" t="s">
        <v>274</v>
      </c>
    </row>
    <row r="34" customFormat="false" ht="57.45" hidden="false" customHeight="false" outlineLevel="0" collapsed="false">
      <c r="A34" s="7" t="s">
        <v>249</v>
      </c>
      <c r="B34" s="7" t="s">
        <v>250</v>
      </c>
      <c r="C34" s="7" t="s">
        <v>275</v>
      </c>
      <c r="D34" s="7" t="s">
        <v>276</v>
      </c>
      <c r="E34" s="7" t="s">
        <v>277</v>
      </c>
      <c r="F34" s="7" t="s">
        <v>43</v>
      </c>
      <c r="G34" s="7"/>
      <c r="H34" s="13" t="s">
        <v>131</v>
      </c>
      <c r="I34" s="7" t="s">
        <v>278</v>
      </c>
      <c r="J34" s="7" t="s">
        <v>255</v>
      </c>
      <c r="K34" s="7" t="s">
        <v>133</v>
      </c>
      <c r="L34" s="7" t="s">
        <v>256</v>
      </c>
      <c r="M34" s="9" t="n">
        <v>521012</v>
      </c>
      <c r="N34" s="10" t="n">
        <v>459500</v>
      </c>
      <c r="O34" s="9" t="n">
        <v>185816</v>
      </c>
      <c r="P34" s="9" t="n">
        <v>178936</v>
      </c>
      <c r="Q34" s="9" t="n">
        <v>94970</v>
      </c>
      <c r="R34" s="11" t="n">
        <f aca="false">IF(AND(ISNUMBER(Q34),P34&gt;0),Q34/P34,"")</f>
        <v>0.530748424017526</v>
      </c>
      <c r="S34" s="9" t="n">
        <v>30437</v>
      </c>
      <c r="T34" s="11" t="n">
        <f aca="false">IF(AND(ISNUMBER(S34),Q34&gt;0),S34/Q34,"")</f>
        <v>0.320490681267769</v>
      </c>
      <c r="U34" s="11" t="n">
        <f aca="false">IF(AND(ISNUMBER(O34),O34&gt;0),145999/O34,"")</f>
        <v>0.785718129762776</v>
      </c>
      <c r="V34" s="7" t="n">
        <v>1956</v>
      </c>
      <c r="W34" s="10" t="n">
        <v>87522</v>
      </c>
      <c r="X34" s="12"/>
      <c r="Y34" s="12"/>
      <c r="Z34" s="7" t="s">
        <v>49</v>
      </c>
      <c r="AA34" s="7" t="s">
        <v>50</v>
      </c>
      <c r="AB34" s="7" t="s">
        <v>51</v>
      </c>
      <c r="AC34" s="7" t="s">
        <v>279</v>
      </c>
      <c r="AD34" s="7"/>
      <c r="AE34" s="7" t="s">
        <v>280</v>
      </c>
      <c r="AF34" s="7" t="s">
        <v>259</v>
      </c>
      <c r="AG34" s="7" t="s">
        <v>281</v>
      </c>
    </row>
    <row r="35" customFormat="false" ht="57.45" hidden="false" customHeight="false" outlineLevel="0" collapsed="false">
      <c r="A35" s="7" t="s">
        <v>249</v>
      </c>
      <c r="B35" s="7" t="s">
        <v>250</v>
      </c>
      <c r="C35" s="7" t="s">
        <v>282</v>
      </c>
      <c r="D35" s="7" t="s">
        <v>283</v>
      </c>
      <c r="E35" s="7" t="s">
        <v>284</v>
      </c>
      <c r="F35" s="7" t="s">
        <v>43</v>
      </c>
      <c r="G35" s="7"/>
      <c r="H35" s="13" t="s">
        <v>131</v>
      </c>
      <c r="I35" s="7" t="s">
        <v>285</v>
      </c>
      <c r="J35" s="7" t="s">
        <v>255</v>
      </c>
      <c r="K35" s="7" t="s">
        <v>133</v>
      </c>
      <c r="L35" s="7" t="s">
        <v>256</v>
      </c>
      <c r="M35" s="9" t="n">
        <v>718323</v>
      </c>
      <c r="N35" s="10" t="n">
        <v>539700</v>
      </c>
      <c r="O35" s="9" t="n">
        <v>320959</v>
      </c>
      <c r="P35" s="9" t="n">
        <v>299682</v>
      </c>
      <c r="Q35" s="9" t="n">
        <v>92074</v>
      </c>
      <c r="R35" s="11" t="n">
        <f aca="false">IF(AND(ISNUMBER(Q35),P35&gt;0),Q35/P35,"")</f>
        <v>0.307239006680415</v>
      </c>
      <c r="S35" s="9" t="n">
        <v>25121</v>
      </c>
      <c r="T35" s="11" t="n">
        <f aca="false">IF(AND(ISNUMBER(S35),Q35&gt;0),S35/Q35,"")</f>
        <v>0.272834893672481</v>
      </c>
      <c r="U35" s="11" t="n">
        <f aca="false">IF(AND(ISNUMBER(O35),O35&gt;0),151134/O35,"")</f>
        <v>0.470882573786683</v>
      </c>
      <c r="V35" s="7" t="n">
        <v>1966</v>
      </c>
      <c r="W35" s="10" t="n">
        <v>91795</v>
      </c>
      <c r="X35" s="12"/>
      <c r="Y35" s="12"/>
      <c r="Z35" s="7" t="s">
        <v>49</v>
      </c>
      <c r="AA35" s="7" t="s">
        <v>50</v>
      </c>
      <c r="AB35" s="7" t="s">
        <v>51</v>
      </c>
      <c r="AC35" s="7" t="s">
        <v>286</v>
      </c>
      <c r="AD35" s="7"/>
      <c r="AE35" s="7" t="s">
        <v>287</v>
      </c>
      <c r="AF35" s="7" t="s">
        <v>259</v>
      </c>
      <c r="AG35" s="7" t="s">
        <v>288</v>
      </c>
    </row>
    <row r="36" customFormat="false" ht="57.45" hidden="false" customHeight="false" outlineLevel="0" collapsed="false">
      <c r="A36" s="7" t="s">
        <v>249</v>
      </c>
      <c r="B36" s="7" t="s">
        <v>250</v>
      </c>
      <c r="C36" s="7" t="s">
        <v>289</v>
      </c>
      <c r="D36" s="7" t="s">
        <v>290</v>
      </c>
      <c r="E36" s="7" t="s">
        <v>291</v>
      </c>
      <c r="F36" s="7" t="s">
        <v>43</v>
      </c>
      <c r="G36" s="7"/>
      <c r="H36" s="13" t="s">
        <v>131</v>
      </c>
      <c r="I36" s="7" t="s">
        <v>292</v>
      </c>
      <c r="J36" s="7" t="s">
        <v>255</v>
      </c>
      <c r="K36" s="7" t="s">
        <v>133</v>
      </c>
      <c r="L36" s="7" t="s">
        <v>256</v>
      </c>
      <c r="M36" s="9" t="n">
        <v>514528</v>
      </c>
      <c r="N36" s="10" t="n">
        <v>582500</v>
      </c>
      <c r="O36" s="9" t="n">
        <v>199506</v>
      </c>
      <c r="P36" s="9" t="n">
        <v>193245</v>
      </c>
      <c r="Q36" s="9" t="n">
        <v>143562</v>
      </c>
      <c r="R36" s="11" t="n">
        <f aca="false">IF(AND(ISNUMBER(Q36),P36&gt;0),Q36/P36,"")</f>
        <v>0.742901498098269</v>
      </c>
      <c r="S36" s="9" t="n">
        <v>43512</v>
      </c>
      <c r="T36" s="11" t="n">
        <f aca="false">IF(AND(ISNUMBER(S36),Q36&gt;0),S36/Q36,"")</f>
        <v>0.30308856103983</v>
      </c>
      <c r="U36" s="11" t="n">
        <f aca="false">IF(AND(ISNUMBER(O36),O36&gt;0),160754/O36,"")</f>
        <v>0.805760227762574</v>
      </c>
      <c r="V36" s="7" t="n">
        <v>1971</v>
      </c>
      <c r="W36" s="10" t="n">
        <v>137326</v>
      </c>
      <c r="X36" s="12"/>
      <c r="Y36" s="12"/>
      <c r="Z36" s="7" t="s">
        <v>49</v>
      </c>
      <c r="AA36" s="7" t="s">
        <v>50</v>
      </c>
      <c r="AB36" s="7" t="s">
        <v>51</v>
      </c>
      <c r="AC36" s="7" t="s">
        <v>293</v>
      </c>
      <c r="AD36" s="7"/>
      <c r="AE36" s="7" t="s">
        <v>294</v>
      </c>
      <c r="AF36" s="7" t="s">
        <v>259</v>
      </c>
      <c r="AG36" s="7" t="s">
        <v>295</v>
      </c>
    </row>
    <row r="37" customFormat="false" ht="57.45" hidden="false" customHeight="false" outlineLevel="0" collapsed="false">
      <c r="A37" s="7" t="s">
        <v>249</v>
      </c>
      <c r="B37" s="7" t="s">
        <v>296</v>
      </c>
      <c r="C37" s="7" t="s">
        <v>297</v>
      </c>
      <c r="D37" s="7" t="s">
        <v>298</v>
      </c>
      <c r="E37" s="7" t="s">
        <v>299</v>
      </c>
      <c r="F37" s="7" t="s">
        <v>43</v>
      </c>
      <c r="G37" s="7"/>
      <c r="H37" s="13" t="s">
        <v>131</v>
      </c>
      <c r="I37" s="7" t="s">
        <v>300</v>
      </c>
      <c r="J37" s="7" t="s">
        <v>255</v>
      </c>
      <c r="K37" s="7" t="s">
        <v>133</v>
      </c>
      <c r="L37" s="7" t="s">
        <v>256</v>
      </c>
      <c r="M37" s="9" t="n">
        <v>871290</v>
      </c>
      <c r="N37" s="10" t="n">
        <v>462900</v>
      </c>
      <c r="O37" s="9" t="n">
        <v>317979</v>
      </c>
      <c r="P37" s="9" t="n">
        <v>307782</v>
      </c>
      <c r="Q37" s="9" t="n">
        <v>195888</v>
      </c>
      <c r="R37" s="11" t="n">
        <f aca="false">IF(AND(ISNUMBER(Q37),P37&gt;0),Q37/P37,"")</f>
        <v>0.636450474686629</v>
      </c>
      <c r="S37" s="9" t="n">
        <v>61179</v>
      </c>
      <c r="T37" s="11" t="n">
        <f aca="false">IF(AND(ISNUMBER(S37),Q37&gt;0),S37/Q37,"")</f>
        <v>0.312316221514335</v>
      </c>
      <c r="U37" s="11" t="n">
        <f aca="false">IF(AND(ISNUMBER(O37),O37&gt;0),238941/O37,"")</f>
        <v>0.751436415612352</v>
      </c>
      <c r="V37" s="7" t="n">
        <v>1974</v>
      </c>
      <c r="W37" s="10" t="n">
        <v>111549</v>
      </c>
      <c r="X37" s="12"/>
      <c r="Y37" s="12"/>
      <c r="Z37" s="7" t="s">
        <v>49</v>
      </c>
      <c r="AA37" s="7" t="s">
        <v>50</v>
      </c>
      <c r="AB37" s="7" t="s">
        <v>51</v>
      </c>
      <c r="AC37" s="7" t="s">
        <v>301</v>
      </c>
      <c r="AD37" s="7"/>
      <c r="AE37" s="7" t="s">
        <v>302</v>
      </c>
      <c r="AF37" s="7" t="s">
        <v>259</v>
      </c>
      <c r="AG37" s="7" t="s">
        <v>303</v>
      </c>
    </row>
    <row r="38" customFormat="false" ht="57.45" hidden="false" customHeight="false" outlineLevel="0" collapsed="false">
      <c r="A38" s="7" t="s">
        <v>249</v>
      </c>
      <c r="B38" s="7" t="s">
        <v>296</v>
      </c>
      <c r="C38" s="7" t="s">
        <v>304</v>
      </c>
      <c r="D38" s="7" t="s">
        <v>305</v>
      </c>
      <c r="E38" s="7" t="s">
        <v>306</v>
      </c>
      <c r="F38" s="7" t="s">
        <v>43</v>
      </c>
      <c r="G38" s="7"/>
      <c r="H38" s="13" t="s">
        <v>131</v>
      </c>
      <c r="I38" s="7" t="s">
        <v>307</v>
      </c>
      <c r="J38" s="7" t="s">
        <v>255</v>
      </c>
      <c r="K38" s="7" t="s">
        <v>133</v>
      </c>
      <c r="L38" s="7" t="s">
        <v>256</v>
      </c>
      <c r="M38" s="9" t="n">
        <v>645353</v>
      </c>
      <c r="N38" s="10" t="n">
        <v>606100</v>
      </c>
      <c r="O38" s="9" t="n">
        <v>270415</v>
      </c>
      <c r="P38" s="9" t="n">
        <v>251712</v>
      </c>
      <c r="Q38" s="9" t="n">
        <v>190173</v>
      </c>
      <c r="R38" s="11" t="n">
        <f aca="false">IF(AND(ISNUMBER(Q38),P38&gt;0),Q38/P38,"")</f>
        <v>0.755518211289092</v>
      </c>
      <c r="S38" s="9" t="n">
        <v>62262</v>
      </c>
      <c r="T38" s="11" t="n">
        <f aca="false">IF(AND(ISNUMBER(S38),Q38&gt;0),S38/Q38,"")</f>
        <v>0.327396633591519</v>
      </c>
      <c r="U38" s="11" t="n">
        <f aca="false">IF(AND(ISNUMBER(O38),O38&gt;0),221517/O38,"")</f>
        <v>0.819174232198658</v>
      </c>
      <c r="V38" s="7" t="n">
        <v>1975</v>
      </c>
      <c r="W38" s="10" t="n">
        <v>124845</v>
      </c>
      <c r="X38" s="12"/>
      <c r="Y38" s="12"/>
      <c r="Z38" s="7" t="s">
        <v>49</v>
      </c>
      <c r="AA38" s="7" t="s">
        <v>50</v>
      </c>
      <c r="AB38" s="7" t="s">
        <v>51</v>
      </c>
      <c r="AC38" s="7" t="s">
        <v>308</v>
      </c>
      <c r="AD38" s="7"/>
      <c r="AE38" s="7" t="s">
        <v>309</v>
      </c>
      <c r="AF38" s="7" t="s">
        <v>259</v>
      </c>
      <c r="AG38" s="7" t="s">
        <v>310</v>
      </c>
    </row>
    <row r="39" customFormat="false" ht="57.45" hidden="false" customHeight="false" outlineLevel="0" collapsed="false">
      <c r="A39" s="7" t="s">
        <v>249</v>
      </c>
      <c r="B39" s="7" t="s">
        <v>296</v>
      </c>
      <c r="C39" s="7" t="s">
        <v>311</v>
      </c>
      <c r="D39" s="7" t="s">
        <v>312</v>
      </c>
      <c r="E39" s="7" t="s">
        <v>313</v>
      </c>
      <c r="F39" s="7" t="s">
        <v>43</v>
      </c>
      <c r="G39" s="7"/>
      <c r="H39" s="14" t="s">
        <v>171</v>
      </c>
      <c r="I39" s="7" t="s">
        <v>314</v>
      </c>
      <c r="J39" s="7" t="s">
        <v>173</v>
      </c>
      <c r="K39" s="7" t="s">
        <v>133</v>
      </c>
      <c r="L39" s="7" t="s">
        <v>174</v>
      </c>
      <c r="M39" s="9" t="n">
        <v>349846</v>
      </c>
      <c r="N39" s="10" t="n">
        <v>552100</v>
      </c>
      <c r="O39" s="9" t="n">
        <v>133639</v>
      </c>
      <c r="P39" s="9" t="n">
        <v>130802</v>
      </c>
      <c r="Q39" s="9" t="n">
        <v>97187</v>
      </c>
      <c r="R39" s="11" t="n">
        <f aca="false">IF(AND(ISNUMBER(Q39),P39&gt;0),Q39/P39,"")</f>
        <v>0.743008516689347</v>
      </c>
      <c r="S39" s="9" t="n">
        <v>27905</v>
      </c>
      <c r="T39" s="11" t="n">
        <f aca="false">IF(AND(ISNUMBER(S39),Q39&gt;0),S39/Q39,"")</f>
        <v>0.287126879109346</v>
      </c>
      <c r="U39" s="11" t="n">
        <f aca="false">IF(AND(ISNUMBER(O39),O39&gt;0),109702/O39,"")</f>
        <v>0.82088312543494</v>
      </c>
      <c r="V39" s="7" t="n">
        <v>1982</v>
      </c>
      <c r="W39" s="10" t="n">
        <v>140374</v>
      </c>
      <c r="X39" s="12"/>
      <c r="Y39" s="12"/>
      <c r="Z39" s="7" t="s">
        <v>49</v>
      </c>
      <c r="AA39" s="7" t="s">
        <v>50</v>
      </c>
      <c r="AB39" s="7" t="s">
        <v>51</v>
      </c>
      <c r="AC39" s="7" t="s">
        <v>315</v>
      </c>
      <c r="AD39" s="7"/>
      <c r="AE39" s="7" t="s">
        <v>316</v>
      </c>
      <c r="AF39" s="7" t="s">
        <v>259</v>
      </c>
      <c r="AG39" s="7" t="s">
        <v>317</v>
      </c>
    </row>
    <row r="40" customFormat="false" ht="57.45" hidden="false" customHeight="false" outlineLevel="0" collapsed="false">
      <c r="A40" s="7" t="s">
        <v>249</v>
      </c>
      <c r="B40" s="7" t="s">
        <v>296</v>
      </c>
      <c r="C40" s="7" t="s">
        <v>318</v>
      </c>
      <c r="D40" s="7" t="s">
        <v>319</v>
      </c>
      <c r="E40" s="7" t="s">
        <v>320</v>
      </c>
      <c r="F40" s="7" t="s">
        <v>43</v>
      </c>
      <c r="G40" s="7"/>
      <c r="H40" s="14" t="s">
        <v>171</v>
      </c>
      <c r="I40" s="7" t="s">
        <v>321</v>
      </c>
      <c r="J40" s="7" t="s">
        <v>173</v>
      </c>
      <c r="K40" s="7" t="s">
        <v>133</v>
      </c>
      <c r="L40" s="7" t="s">
        <v>174</v>
      </c>
      <c r="M40" s="9" t="n">
        <v>385864</v>
      </c>
      <c r="N40" s="10" t="n">
        <v>377700</v>
      </c>
      <c r="O40" s="9" t="n">
        <v>151138</v>
      </c>
      <c r="P40" s="9" t="n">
        <v>144114</v>
      </c>
      <c r="Q40" s="9" t="n">
        <v>89569</v>
      </c>
      <c r="R40" s="11" t="n">
        <f aca="false">IF(AND(ISNUMBER(Q40),P40&gt;0),Q40/P40,"")</f>
        <v>0.621514911805931</v>
      </c>
      <c r="S40" s="9" t="n">
        <v>28133</v>
      </c>
      <c r="T40" s="11" t="n">
        <f aca="false">IF(AND(ISNUMBER(S40),Q40&gt;0),S40/Q40,"")</f>
        <v>0.314093045584968</v>
      </c>
      <c r="U40" s="11" t="n">
        <f aca="false">IF(AND(ISNUMBER(O40),O40&gt;0),115278/O40,"")</f>
        <v>0.762733395969247</v>
      </c>
      <c r="V40" s="7" t="n">
        <v>1969</v>
      </c>
      <c r="W40" s="10" t="n">
        <v>100645</v>
      </c>
      <c r="X40" s="12"/>
      <c r="Y40" s="12"/>
      <c r="Z40" s="7" t="s">
        <v>49</v>
      </c>
      <c r="AA40" s="7" t="s">
        <v>50</v>
      </c>
      <c r="AB40" s="7" t="s">
        <v>51</v>
      </c>
      <c r="AC40" s="7" t="s">
        <v>322</v>
      </c>
      <c r="AD40" s="7"/>
      <c r="AE40" s="7" t="s">
        <v>323</v>
      </c>
      <c r="AF40" s="7" t="s">
        <v>259</v>
      </c>
      <c r="AG40" s="7" t="s">
        <v>324</v>
      </c>
    </row>
    <row r="41" customFormat="false" ht="57.45" hidden="false" customHeight="false" outlineLevel="0" collapsed="false">
      <c r="A41" s="7" t="s">
        <v>249</v>
      </c>
      <c r="B41" s="7" t="s">
        <v>325</v>
      </c>
      <c r="C41" s="7" t="s">
        <v>326</v>
      </c>
      <c r="D41" s="7" t="s">
        <v>327</v>
      </c>
      <c r="E41" s="7" t="s">
        <v>328</v>
      </c>
      <c r="F41" s="7" t="s">
        <v>43</v>
      </c>
      <c r="G41" s="7"/>
      <c r="H41" s="14" t="s">
        <v>171</v>
      </c>
      <c r="I41" s="7" t="s">
        <v>329</v>
      </c>
      <c r="J41" s="7" t="s">
        <v>173</v>
      </c>
      <c r="K41" s="7" t="s">
        <v>133</v>
      </c>
      <c r="L41" s="7" t="s">
        <v>174</v>
      </c>
      <c r="M41" s="9" t="n">
        <v>654362</v>
      </c>
      <c r="N41" s="10" t="n">
        <v>398400</v>
      </c>
      <c r="O41" s="9" t="n">
        <v>296357</v>
      </c>
      <c r="P41" s="9" t="n">
        <v>243843</v>
      </c>
      <c r="Q41" s="9" t="n">
        <v>196874</v>
      </c>
      <c r="R41" s="11" t="n">
        <f aca="false">IF(AND(ISNUMBER(Q41),P41&gt;0),Q41/P41,"")</f>
        <v>0.807380158544637</v>
      </c>
      <c r="S41" s="9" t="n">
        <v>85187</v>
      </c>
      <c r="T41" s="11" t="n">
        <f aca="false">IF(AND(ISNUMBER(S41),Q41&gt;0),S41/Q41,"")</f>
        <v>0.432698070847344</v>
      </c>
      <c r="U41" s="11" t="n">
        <f aca="false">IF(AND(ISNUMBER(O41),O41&gt;0),265773/O41,"")</f>
        <v>0.896800143070688</v>
      </c>
      <c r="V41" s="7" t="n">
        <v>1981</v>
      </c>
      <c r="W41" s="10" t="n">
        <v>89863</v>
      </c>
      <c r="X41" s="12"/>
      <c r="Y41" s="12"/>
      <c r="Z41" s="7" t="s">
        <v>49</v>
      </c>
      <c r="AA41" s="7" t="s">
        <v>50</v>
      </c>
      <c r="AB41" s="7" t="s">
        <v>51</v>
      </c>
      <c r="AC41" s="7" t="s">
        <v>330</v>
      </c>
      <c r="AD41" s="7"/>
      <c r="AE41" s="7" t="s">
        <v>331</v>
      </c>
      <c r="AF41" s="7" t="s">
        <v>259</v>
      </c>
      <c r="AG41" s="7" t="s">
        <v>332</v>
      </c>
    </row>
    <row r="42" customFormat="false" ht="57.45" hidden="false" customHeight="false" outlineLevel="0" collapsed="false">
      <c r="A42" s="7" t="s">
        <v>249</v>
      </c>
      <c r="B42" s="7" t="s">
        <v>333</v>
      </c>
      <c r="C42" s="7" t="s">
        <v>334</v>
      </c>
      <c r="D42" s="7" t="s">
        <v>335</v>
      </c>
      <c r="E42" s="7" t="s">
        <v>336</v>
      </c>
      <c r="F42" s="7" t="s">
        <v>43</v>
      </c>
      <c r="G42" s="7"/>
      <c r="H42" s="14" t="s">
        <v>171</v>
      </c>
      <c r="I42" s="7" t="s">
        <v>337</v>
      </c>
      <c r="J42" s="7" t="s">
        <v>173</v>
      </c>
      <c r="K42" s="7" t="s">
        <v>133</v>
      </c>
      <c r="L42" s="7" t="s">
        <v>174</v>
      </c>
      <c r="M42" s="9" t="n">
        <v>467805</v>
      </c>
      <c r="N42" s="10" t="n">
        <v>354000</v>
      </c>
      <c r="O42" s="9" t="n">
        <v>186315</v>
      </c>
      <c r="P42" s="9" t="n">
        <v>177222</v>
      </c>
      <c r="Q42" s="9" t="n">
        <v>134924</v>
      </c>
      <c r="R42" s="11" t="n">
        <f aca="false">IF(AND(ISNUMBER(Q42),P42&gt;0),Q42/P42,"")</f>
        <v>0.761327600410784</v>
      </c>
      <c r="S42" s="9" t="n">
        <v>43733</v>
      </c>
      <c r="T42" s="11" t="n">
        <f aca="false">IF(AND(ISNUMBER(S42),Q42&gt;0),S42/Q42,"")</f>
        <v>0.324130621683318</v>
      </c>
      <c r="U42" s="11" t="n">
        <f aca="false">IF(AND(ISNUMBER(O42),O42&gt;0),156508/O42,"")</f>
        <v>0.840018248664896</v>
      </c>
      <c r="V42" s="7" t="n">
        <v>1977</v>
      </c>
      <c r="W42" s="10" t="n">
        <v>108111</v>
      </c>
      <c r="X42" s="12"/>
      <c r="Y42" s="12"/>
      <c r="Z42" s="7" t="s">
        <v>49</v>
      </c>
      <c r="AA42" s="7" t="s">
        <v>50</v>
      </c>
      <c r="AB42" s="7" t="s">
        <v>51</v>
      </c>
      <c r="AC42" s="7" t="s">
        <v>338</v>
      </c>
      <c r="AD42" s="7"/>
      <c r="AE42" s="7" t="s">
        <v>339</v>
      </c>
      <c r="AF42" s="7" t="s">
        <v>259</v>
      </c>
      <c r="AG42" s="7" t="s">
        <v>340</v>
      </c>
    </row>
    <row r="43" customFormat="false" ht="57.45" hidden="false" customHeight="false" outlineLevel="0" collapsed="false">
      <c r="A43" s="7" t="s">
        <v>249</v>
      </c>
      <c r="B43" s="7" t="s">
        <v>333</v>
      </c>
      <c r="C43" s="7" t="s">
        <v>341</v>
      </c>
      <c r="D43" s="7" t="s">
        <v>342</v>
      </c>
      <c r="E43" s="7" t="s">
        <v>343</v>
      </c>
      <c r="F43" s="7" t="s">
        <v>43</v>
      </c>
      <c r="G43" s="7"/>
      <c r="H43" s="14" t="s">
        <v>171</v>
      </c>
      <c r="I43" s="7" t="s">
        <v>344</v>
      </c>
      <c r="J43" s="7" t="s">
        <v>173</v>
      </c>
      <c r="K43" s="7" t="s">
        <v>133</v>
      </c>
      <c r="L43" s="7" t="s">
        <v>174</v>
      </c>
      <c r="M43" s="9" t="n">
        <v>527257</v>
      </c>
      <c r="N43" s="10" t="n">
        <v>287100</v>
      </c>
      <c r="O43" s="9" t="n">
        <v>213774</v>
      </c>
      <c r="P43" s="9" t="n">
        <v>202540</v>
      </c>
      <c r="Q43" s="9" t="n">
        <v>131032</v>
      </c>
      <c r="R43" s="11" t="n">
        <f aca="false">IF(AND(ISNUMBER(Q43),P43&gt;0),Q43/P43,"")</f>
        <v>0.64694381356769</v>
      </c>
      <c r="S43" s="9" t="n">
        <v>40290</v>
      </c>
      <c r="T43" s="11" t="n">
        <f aca="false">IF(AND(ISNUMBER(S43),Q43&gt;0),S43/Q43,"")</f>
        <v>0.307482141766897</v>
      </c>
      <c r="U43" s="11" t="n">
        <f aca="false">IF(AND(ISNUMBER(O43),O43&gt;0),169374/O43,"")</f>
        <v>0.792304022004547</v>
      </c>
      <c r="V43" s="7" t="n">
        <v>1967</v>
      </c>
      <c r="W43" s="10" t="n">
        <v>88755</v>
      </c>
      <c r="X43" s="12"/>
      <c r="Y43" s="12"/>
      <c r="Z43" s="7" t="s">
        <v>49</v>
      </c>
      <c r="AA43" s="7" t="s">
        <v>50</v>
      </c>
      <c r="AB43" s="7" t="s">
        <v>51</v>
      </c>
      <c r="AC43" s="7" t="s">
        <v>345</v>
      </c>
      <c r="AD43" s="7"/>
      <c r="AE43" s="7" t="s">
        <v>346</v>
      </c>
      <c r="AF43" s="7" t="s">
        <v>259</v>
      </c>
      <c r="AG43" s="7" t="s">
        <v>347</v>
      </c>
    </row>
    <row r="44" customFormat="false" ht="57.45" hidden="false" customHeight="false" outlineLevel="0" collapsed="false">
      <c r="A44" s="7" t="s">
        <v>249</v>
      </c>
      <c r="B44" s="7" t="s">
        <v>333</v>
      </c>
      <c r="C44" s="7" t="s">
        <v>348</v>
      </c>
      <c r="D44" s="7" t="s">
        <v>349</v>
      </c>
      <c r="E44" s="7" t="s">
        <v>350</v>
      </c>
      <c r="F44" s="7" t="s">
        <v>43</v>
      </c>
      <c r="G44" s="7"/>
      <c r="H44" s="14" t="s">
        <v>171</v>
      </c>
      <c r="I44" s="7" t="s">
        <v>351</v>
      </c>
      <c r="J44" s="7" t="s">
        <v>173</v>
      </c>
      <c r="K44" s="7" t="s">
        <v>133</v>
      </c>
      <c r="L44" s="7" t="s">
        <v>174</v>
      </c>
      <c r="M44" s="9" t="n">
        <v>306954</v>
      </c>
      <c r="N44" s="10" t="n">
        <v>310400</v>
      </c>
      <c r="O44" s="9" t="n">
        <v>117915</v>
      </c>
      <c r="P44" s="9" t="n">
        <v>112545</v>
      </c>
      <c r="Q44" s="9" t="n">
        <v>90175</v>
      </c>
      <c r="R44" s="11" t="n">
        <f aca="false">IF(AND(ISNUMBER(Q44),P44&gt;0),Q44/P44,"")</f>
        <v>0.801235061530943</v>
      </c>
      <c r="S44" s="9" t="n">
        <v>26843</v>
      </c>
      <c r="T44" s="11" t="n">
        <f aca="false">IF(AND(ISNUMBER(S44),Q44&gt;0),S44/Q44,"")</f>
        <v>0.297676739672858</v>
      </c>
      <c r="U44" s="11" t="n">
        <f aca="false">IF(AND(ISNUMBER(O44),O44&gt;0),102428/O44,"")</f>
        <v>0.868659627697918</v>
      </c>
      <c r="V44" s="7" t="n">
        <v>1980</v>
      </c>
      <c r="W44" s="10" t="n">
        <v>105115</v>
      </c>
      <c r="X44" s="12"/>
      <c r="Y44" s="12"/>
      <c r="Z44" s="7" t="s">
        <v>49</v>
      </c>
      <c r="AA44" s="7" t="s">
        <v>50</v>
      </c>
      <c r="AB44" s="7" t="s">
        <v>51</v>
      </c>
      <c r="AC44" s="7" t="s">
        <v>352</v>
      </c>
      <c r="AD44" s="7"/>
      <c r="AE44" s="7" t="s">
        <v>353</v>
      </c>
      <c r="AF44" s="7" t="s">
        <v>259</v>
      </c>
      <c r="AG44" s="7" t="s">
        <v>354</v>
      </c>
    </row>
    <row r="45" customFormat="false" ht="57.45" hidden="false" customHeight="false" outlineLevel="0" collapsed="false">
      <c r="A45" s="7" t="s">
        <v>249</v>
      </c>
      <c r="B45" s="7" t="s">
        <v>250</v>
      </c>
      <c r="C45" s="7" t="s">
        <v>355</v>
      </c>
      <c r="D45" s="7" t="s">
        <v>356</v>
      </c>
      <c r="E45" s="7" t="s">
        <v>357</v>
      </c>
      <c r="F45" s="7" t="s">
        <v>43</v>
      </c>
      <c r="G45" s="7"/>
      <c r="H45" s="14" t="s">
        <v>171</v>
      </c>
      <c r="I45" s="7" t="s">
        <v>358</v>
      </c>
      <c r="J45" s="7" t="s">
        <v>173</v>
      </c>
      <c r="K45" s="7" t="s">
        <v>133</v>
      </c>
      <c r="L45" s="7" t="s">
        <v>174</v>
      </c>
      <c r="M45" s="9" t="n">
        <v>130160</v>
      </c>
      <c r="N45" s="10" t="n">
        <v>517200</v>
      </c>
      <c r="O45" s="9" t="n">
        <v>52115</v>
      </c>
      <c r="P45" s="9" t="n">
        <v>50860</v>
      </c>
      <c r="Q45" s="9" t="n">
        <v>43302</v>
      </c>
      <c r="R45" s="11" t="n">
        <f aca="false">IF(AND(ISNUMBER(Q45),P45&gt;0),Q45/P45,"")</f>
        <v>0.851395988989383</v>
      </c>
      <c r="S45" s="9" t="n">
        <v>13850</v>
      </c>
      <c r="T45" s="11" t="n">
        <f aca="false">IF(AND(ISNUMBER(S45),Q45&gt;0),S45/Q45,"")</f>
        <v>0.319846658352963</v>
      </c>
      <c r="U45" s="11" t="n">
        <f aca="false">IF(AND(ISNUMBER(O45),O45&gt;0),47954/O45,"")</f>
        <v>0.920157344334645</v>
      </c>
      <c r="V45" s="7" t="n">
        <v>1979</v>
      </c>
      <c r="W45" s="10" t="n">
        <v>141715</v>
      </c>
      <c r="X45" s="12"/>
      <c r="Y45" s="12"/>
      <c r="Z45" s="7" t="s">
        <v>49</v>
      </c>
      <c r="AA45" s="7" t="s">
        <v>50</v>
      </c>
      <c r="AB45" s="7" t="s">
        <v>51</v>
      </c>
      <c r="AC45" s="7" t="s">
        <v>359</v>
      </c>
      <c r="AD45" s="7"/>
      <c r="AE45" s="7" t="s">
        <v>360</v>
      </c>
      <c r="AF45" s="7" t="s">
        <v>259</v>
      </c>
      <c r="AG45" s="7" t="s">
        <v>361</v>
      </c>
    </row>
    <row r="46" customFormat="false" ht="57.45" hidden="false" customHeight="false" outlineLevel="0" collapsed="false">
      <c r="A46" s="7" t="s">
        <v>249</v>
      </c>
      <c r="B46" s="7" t="s">
        <v>250</v>
      </c>
      <c r="C46" s="7" t="s">
        <v>362</v>
      </c>
      <c r="D46" s="7" t="s">
        <v>363</v>
      </c>
      <c r="E46" s="7" t="s">
        <v>364</v>
      </c>
      <c r="F46" s="7" t="s">
        <v>43</v>
      </c>
      <c r="G46" s="7"/>
      <c r="H46" s="15" t="s">
        <v>202</v>
      </c>
      <c r="I46" s="7" t="s">
        <v>211</v>
      </c>
      <c r="J46" s="7" t="s">
        <v>204</v>
      </c>
      <c r="K46" s="7" t="s">
        <v>205</v>
      </c>
      <c r="L46" s="7" t="s">
        <v>206</v>
      </c>
      <c r="M46" s="9" t="n">
        <v>145807</v>
      </c>
      <c r="N46" s="10" t="n">
        <v>369400</v>
      </c>
      <c r="O46" s="9" t="n">
        <v>62865</v>
      </c>
      <c r="P46" s="9" t="n">
        <v>57767</v>
      </c>
      <c r="Q46" s="9" t="n">
        <v>48366</v>
      </c>
      <c r="R46" s="11" t="n">
        <f aca="false">IF(AND(ISNUMBER(Q46),P46&gt;0),Q46/P46,"")</f>
        <v>0.837260027351256</v>
      </c>
      <c r="S46" s="9" t="n">
        <v>14029</v>
      </c>
      <c r="T46" s="11" t="n">
        <f aca="false">IF(AND(ISNUMBER(S46),Q46&gt;0),S46/Q46,"")</f>
        <v>0.290059132448414</v>
      </c>
      <c r="U46" s="11" t="n">
        <f aca="false">IF(AND(ISNUMBER(O46),O46&gt;0),56504/O46,"")</f>
        <v>0.898814920862165</v>
      </c>
      <c r="V46" s="7" t="n">
        <v>1973</v>
      </c>
      <c r="W46" s="10" t="n">
        <v>116186</v>
      </c>
      <c r="X46" s="12"/>
      <c r="Y46" s="12"/>
      <c r="Z46" s="7" t="s">
        <v>49</v>
      </c>
      <c r="AA46" s="7" t="s">
        <v>50</v>
      </c>
      <c r="AB46" s="7" t="s">
        <v>51</v>
      </c>
      <c r="AC46" s="7" t="s">
        <v>365</v>
      </c>
      <c r="AD46" s="7"/>
      <c r="AE46" s="7"/>
      <c r="AF46" s="7" t="s">
        <v>259</v>
      </c>
      <c r="AG46" s="7"/>
    </row>
    <row r="47" customFormat="false" ht="57.45" hidden="false" customHeight="false" outlineLevel="0" collapsed="false">
      <c r="A47" s="7" t="s">
        <v>249</v>
      </c>
      <c r="B47" s="7" t="s">
        <v>250</v>
      </c>
      <c r="C47" s="7" t="s">
        <v>366</v>
      </c>
      <c r="D47" s="7" t="s">
        <v>367</v>
      </c>
      <c r="E47" s="7" t="s">
        <v>368</v>
      </c>
      <c r="F47" s="7" t="s">
        <v>43</v>
      </c>
      <c r="G47" s="7"/>
      <c r="H47" s="15" t="s">
        <v>202</v>
      </c>
      <c r="I47" s="7" t="s">
        <v>211</v>
      </c>
      <c r="J47" s="7" t="s">
        <v>204</v>
      </c>
      <c r="K47" s="7" t="s">
        <v>205</v>
      </c>
      <c r="L47" s="7" t="s">
        <v>206</v>
      </c>
      <c r="M47" s="9" t="n">
        <v>110849</v>
      </c>
      <c r="N47" s="10" t="n">
        <v>346500</v>
      </c>
      <c r="O47" s="9" t="n">
        <v>46789</v>
      </c>
      <c r="P47" s="9" t="n">
        <v>45391</v>
      </c>
      <c r="Q47" s="9" t="n">
        <v>34072</v>
      </c>
      <c r="R47" s="11" t="n">
        <f aca="false">IF(AND(ISNUMBER(Q47),P47&gt;0),Q47/P47,"")</f>
        <v>0.750633385472891</v>
      </c>
      <c r="S47" s="9" t="n">
        <v>10777</v>
      </c>
      <c r="T47" s="11" t="n">
        <f aca="false">IF(AND(ISNUMBER(S47),Q47&gt;0),S47/Q47,"")</f>
        <v>0.316300774829772</v>
      </c>
      <c r="U47" s="11" t="n">
        <f aca="false">IF(AND(ISNUMBER(O47),O47&gt;0),40845/O47,"")</f>
        <v>0.872961593536943</v>
      </c>
      <c r="V47" s="7" t="n">
        <v>1972</v>
      </c>
      <c r="W47" s="10" t="n">
        <v>100869</v>
      </c>
      <c r="X47" s="12"/>
      <c r="Y47" s="12"/>
      <c r="Z47" s="7" t="s">
        <v>49</v>
      </c>
      <c r="AA47" s="7" t="s">
        <v>50</v>
      </c>
      <c r="AB47" s="7" t="s">
        <v>51</v>
      </c>
      <c r="AC47" s="7" t="s">
        <v>369</v>
      </c>
      <c r="AD47" s="7"/>
      <c r="AE47" s="7"/>
      <c r="AF47" s="7" t="s">
        <v>259</v>
      </c>
      <c r="AG47" s="7"/>
    </row>
    <row r="48" customFormat="false" ht="57.45" hidden="false" customHeight="false" outlineLevel="0" collapsed="false">
      <c r="A48" s="7" t="s">
        <v>249</v>
      </c>
      <c r="B48" s="7" t="s">
        <v>333</v>
      </c>
      <c r="C48" s="7" t="s">
        <v>370</v>
      </c>
      <c r="D48" s="7" t="s">
        <v>371</v>
      </c>
      <c r="E48" s="7" t="s">
        <v>372</v>
      </c>
      <c r="F48" s="7" t="s">
        <v>43</v>
      </c>
      <c r="G48" s="7"/>
      <c r="H48" s="15" t="s">
        <v>202</v>
      </c>
      <c r="I48" s="7" t="s">
        <v>373</v>
      </c>
      <c r="J48" s="7" t="s">
        <v>204</v>
      </c>
      <c r="K48" s="7" t="s">
        <v>205</v>
      </c>
      <c r="L48" s="7" t="s">
        <v>206</v>
      </c>
      <c r="M48" s="9" t="n">
        <v>276270</v>
      </c>
      <c r="N48" s="10" t="n">
        <v>295000</v>
      </c>
      <c r="O48" s="9" t="n">
        <v>132199</v>
      </c>
      <c r="P48" s="9" t="n">
        <v>109557</v>
      </c>
      <c r="Q48" s="9" t="n">
        <v>75281</v>
      </c>
      <c r="R48" s="11" t="n">
        <f aca="false">IF(AND(ISNUMBER(Q48),P48&gt;0),Q48/P48,"")</f>
        <v>0.68714002756556</v>
      </c>
      <c r="S48" s="9" t="n">
        <v>27467</v>
      </c>
      <c r="T48" s="11" t="n">
        <f aca="false">IF(AND(ISNUMBER(S48),Q48&gt;0),S48/Q48,"")</f>
        <v>0.364859659143741</v>
      </c>
      <c r="U48" s="11" t="n">
        <f aca="false">IF(AND(ISNUMBER(O48),O48&gt;0),100808/O48,"")</f>
        <v>0.762547371765293</v>
      </c>
      <c r="V48" s="7" t="n">
        <v>1978</v>
      </c>
      <c r="W48" s="10" t="n">
        <v>78050</v>
      </c>
      <c r="X48" s="12"/>
      <c r="Y48" s="12"/>
      <c r="Z48" s="7" t="s">
        <v>49</v>
      </c>
      <c r="AA48" s="7" t="s">
        <v>50</v>
      </c>
      <c r="AB48" s="7" t="s">
        <v>51</v>
      </c>
      <c r="AC48" s="7" t="s">
        <v>374</v>
      </c>
      <c r="AD48" s="7"/>
      <c r="AE48" s="7"/>
      <c r="AF48" s="7" t="s">
        <v>259</v>
      </c>
      <c r="AG48" s="7"/>
    </row>
    <row r="49" customFormat="false" ht="57.45" hidden="false" customHeight="false" outlineLevel="0" collapsed="false">
      <c r="A49" s="7" t="s">
        <v>249</v>
      </c>
      <c r="B49" s="7" t="s">
        <v>333</v>
      </c>
      <c r="C49" s="7" t="s">
        <v>375</v>
      </c>
      <c r="D49" s="7" t="s">
        <v>376</v>
      </c>
      <c r="E49" s="7" t="s">
        <v>377</v>
      </c>
      <c r="F49" s="7" t="s">
        <v>43</v>
      </c>
      <c r="G49" s="7"/>
      <c r="H49" s="15" t="s">
        <v>202</v>
      </c>
      <c r="I49" s="7" t="s">
        <v>378</v>
      </c>
      <c r="J49" s="7" t="s">
        <v>204</v>
      </c>
      <c r="K49" s="7" t="s">
        <v>205</v>
      </c>
      <c r="L49" s="7" t="s">
        <v>206</v>
      </c>
      <c r="M49" s="9" t="n">
        <v>94941</v>
      </c>
      <c r="N49" s="10" t="n">
        <v>434600</v>
      </c>
      <c r="O49" s="9" t="n">
        <v>99599</v>
      </c>
      <c r="P49" s="9" t="n">
        <v>44884</v>
      </c>
      <c r="Q49" s="9" t="n">
        <v>36053</v>
      </c>
      <c r="R49" s="11" t="n">
        <f aca="false">IF(AND(ISNUMBER(Q49),P49&gt;0),Q49/P49,"")</f>
        <v>0.803248373585242</v>
      </c>
      <c r="S49" s="9" t="n">
        <v>15876</v>
      </c>
      <c r="T49" s="11" t="n">
        <f aca="false">IF(AND(ISNUMBER(S49),Q49&gt;0),S49/Q49,"")</f>
        <v>0.440351704435137</v>
      </c>
      <c r="U49" s="11" t="n">
        <f aca="false">IF(AND(ISNUMBER(O49),O49&gt;0),87600/O49,"")</f>
        <v>0.879526902880551</v>
      </c>
      <c r="V49" s="7" t="n">
        <v>1981</v>
      </c>
      <c r="W49" s="10" t="n">
        <v>91128</v>
      </c>
      <c r="X49" s="12"/>
      <c r="Y49" s="12"/>
      <c r="Z49" s="7" t="s">
        <v>49</v>
      </c>
      <c r="AA49" s="7" t="s">
        <v>50</v>
      </c>
      <c r="AB49" s="7" t="s">
        <v>51</v>
      </c>
      <c r="AC49" s="7" t="s">
        <v>379</v>
      </c>
      <c r="AD49" s="7"/>
      <c r="AE49" s="7"/>
      <c r="AF49" s="7" t="s">
        <v>259</v>
      </c>
      <c r="AG49" s="7"/>
    </row>
    <row r="50" customFormat="false" ht="57.45" hidden="false" customHeight="false" outlineLevel="0" collapsed="false">
      <c r="A50" s="7" t="s">
        <v>249</v>
      </c>
      <c r="B50" s="7" t="s">
        <v>333</v>
      </c>
      <c r="C50" s="7" t="s">
        <v>192</v>
      </c>
      <c r="D50" s="7" t="s">
        <v>380</v>
      </c>
      <c r="E50" s="7" t="s">
        <v>381</v>
      </c>
      <c r="F50" s="7" t="s">
        <v>43</v>
      </c>
      <c r="G50" s="7"/>
      <c r="H50" s="15" t="s">
        <v>202</v>
      </c>
      <c r="I50" s="7" t="s">
        <v>382</v>
      </c>
      <c r="J50" s="7" t="s">
        <v>204</v>
      </c>
      <c r="K50" s="7" t="s">
        <v>205</v>
      </c>
      <c r="L50" s="7" t="s">
        <v>206</v>
      </c>
      <c r="M50" s="9" t="n">
        <v>153305</v>
      </c>
      <c r="N50" s="10" t="n">
        <v>221400</v>
      </c>
      <c r="O50" s="9" t="n">
        <v>57282</v>
      </c>
      <c r="P50" s="9" t="n">
        <v>53781</v>
      </c>
      <c r="Q50" s="9" t="n">
        <v>35782</v>
      </c>
      <c r="R50" s="11" t="n">
        <f aca="false">IF(AND(ISNUMBER(Q50),P50&gt;0),Q50/P50,"")</f>
        <v>0.665327903906584</v>
      </c>
      <c r="S50" s="9" t="n">
        <v>11464</v>
      </c>
      <c r="T50" s="11" t="n">
        <f aca="false">IF(AND(ISNUMBER(S50),Q50&gt;0),S50/Q50,"")</f>
        <v>0.32038455089151</v>
      </c>
      <c r="U50" s="11" t="n">
        <f aca="false">IF(AND(ISNUMBER(O50),O50&gt;0),47564/O50,"")</f>
        <v>0.830348102370727</v>
      </c>
      <c r="V50" s="7" t="n">
        <v>1969</v>
      </c>
      <c r="W50" s="10" t="n">
        <v>67436</v>
      </c>
      <c r="X50" s="12"/>
      <c r="Y50" s="12"/>
      <c r="Z50" s="7" t="s">
        <v>49</v>
      </c>
      <c r="AA50" s="7" t="s">
        <v>50</v>
      </c>
      <c r="AB50" s="7" t="s">
        <v>51</v>
      </c>
      <c r="AC50" s="7" t="s">
        <v>383</v>
      </c>
      <c r="AD50" s="7"/>
      <c r="AE50" s="7"/>
      <c r="AF50" s="7" t="s">
        <v>259</v>
      </c>
      <c r="AG50" s="7"/>
    </row>
    <row r="51" customFormat="false" ht="57.45" hidden="false" customHeight="false" outlineLevel="0" collapsed="false">
      <c r="A51" s="7" t="s">
        <v>249</v>
      </c>
      <c r="B51" s="7" t="s">
        <v>333</v>
      </c>
      <c r="C51" s="7" t="s">
        <v>384</v>
      </c>
      <c r="D51" s="7" t="s">
        <v>385</v>
      </c>
      <c r="E51" s="7" t="s">
        <v>386</v>
      </c>
      <c r="F51" s="7" t="s">
        <v>43</v>
      </c>
      <c r="G51" s="7"/>
      <c r="H51" s="15" t="s">
        <v>202</v>
      </c>
      <c r="I51" s="7" t="s">
        <v>387</v>
      </c>
      <c r="J51" s="7" t="s">
        <v>204</v>
      </c>
      <c r="K51" s="7" t="s">
        <v>205</v>
      </c>
      <c r="L51" s="7" t="s">
        <v>206</v>
      </c>
      <c r="M51" s="9" t="n">
        <v>65275</v>
      </c>
      <c r="N51" s="10" t="n">
        <v>239500</v>
      </c>
      <c r="O51" s="9" t="n">
        <v>27732</v>
      </c>
      <c r="P51" s="9" t="n">
        <v>24846</v>
      </c>
      <c r="Q51" s="9" t="n">
        <v>17635</v>
      </c>
      <c r="R51" s="11" t="n">
        <f aca="false">IF(AND(ISNUMBER(Q51),P51&gt;0),Q51/P51,"")</f>
        <v>0.709772196731868</v>
      </c>
      <c r="S51" s="9" t="n">
        <v>6336</v>
      </c>
      <c r="T51" s="11" t="n">
        <f aca="false">IF(AND(ISNUMBER(S51),Q51&gt;0),S51/Q51,"")</f>
        <v>0.359285511766374</v>
      </c>
      <c r="U51" s="11" t="n">
        <f aca="false">IF(AND(ISNUMBER(O51),O51&gt;0),24203/O51,"")</f>
        <v>0.872746285879129</v>
      </c>
      <c r="V51" s="7" t="n">
        <v>1962</v>
      </c>
      <c r="W51" s="10" t="n">
        <v>79960</v>
      </c>
      <c r="X51" s="12"/>
      <c r="Y51" s="12"/>
      <c r="Z51" s="7" t="s">
        <v>49</v>
      </c>
      <c r="AA51" s="7" t="s">
        <v>50</v>
      </c>
      <c r="AB51" s="7" t="s">
        <v>51</v>
      </c>
      <c r="AC51" s="7" t="s">
        <v>388</v>
      </c>
      <c r="AD51" s="7"/>
      <c r="AE51" s="7"/>
      <c r="AF51" s="7" t="s">
        <v>259</v>
      </c>
      <c r="AG51" s="7"/>
    </row>
    <row r="52" customFormat="false" ht="57.45" hidden="false" customHeight="false" outlineLevel="0" collapsed="false">
      <c r="A52" s="7" t="s">
        <v>389</v>
      </c>
      <c r="B52" s="7" t="s">
        <v>390</v>
      </c>
      <c r="C52" s="7" t="s">
        <v>391</v>
      </c>
      <c r="D52" s="7" t="s">
        <v>392</v>
      </c>
      <c r="E52" s="7" t="s">
        <v>393</v>
      </c>
      <c r="F52" s="7" t="s">
        <v>43</v>
      </c>
      <c r="G52" s="7"/>
      <c r="H52" s="13" t="s">
        <v>131</v>
      </c>
      <c r="I52" s="7" t="s">
        <v>394</v>
      </c>
      <c r="J52" s="7" t="s">
        <v>395</v>
      </c>
      <c r="K52" s="7" t="s">
        <v>133</v>
      </c>
      <c r="L52" s="7" t="s">
        <v>396</v>
      </c>
      <c r="M52" s="9" t="n">
        <v>2323052</v>
      </c>
      <c r="N52" s="10" t="n">
        <v>723800</v>
      </c>
      <c r="O52" s="9" t="n">
        <v>910206</v>
      </c>
      <c r="P52" s="9" t="n">
        <v>841003</v>
      </c>
      <c r="Q52" s="9" t="n">
        <v>377295</v>
      </c>
      <c r="R52" s="11" t="n">
        <f aca="false">IF(AND(ISNUMBER(Q52),P52&gt;0),Q52/P52,"")</f>
        <v>0.448625034631268</v>
      </c>
      <c r="S52" s="9" t="n">
        <v>141313</v>
      </c>
      <c r="T52" s="11" t="n">
        <f aca="false">IF(AND(ISNUMBER(S52),Q52&gt;0),S52/Q52,"")</f>
        <v>0.374542466770034</v>
      </c>
      <c r="U52" s="11" t="n">
        <f aca="false">IF(AND(ISNUMBER(O52),O52&gt;0),529416/O52,"")</f>
        <v>0.581644155279135</v>
      </c>
      <c r="V52" s="7" t="n">
        <v>1953</v>
      </c>
      <c r="W52" s="10" t="n">
        <v>86136</v>
      </c>
      <c r="X52" s="12"/>
      <c r="Y52" s="12"/>
      <c r="Z52" s="7" t="s">
        <v>49</v>
      </c>
      <c r="AA52" s="7" t="s">
        <v>50</v>
      </c>
      <c r="AB52" s="7" t="s">
        <v>51</v>
      </c>
      <c r="AC52" s="7" t="s">
        <v>397</v>
      </c>
      <c r="AD52" s="7"/>
      <c r="AE52" s="7" t="s">
        <v>398</v>
      </c>
      <c r="AF52" s="7" t="s">
        <v>399</v>
      </c>
      <c r="AG52" s="7" t="s">
        <v>400</v>
      </c>
    </row>
    <row r="53" customFormat="false" ht="57.45" hidden="false" customHeight="false" outlineLevel="0" collapsed="false">
      <c r="A53" s="7" t="s">
        <v>389</v>
      </c>
      <c r="B53" s="7" t="s">
        <v>390</v>
      </c>
      <c r="C53" s="7" t="s">
        <v>401</v>
      </c>
      <c r="D53" s="7" t="s">
        <v>402</v>
      </c>
      <c r="E53" s="7" t="s">
        <v>403</v>
      </c>
      <c r="F53" s="7" t="s">
        <v>43</v>
      </c>
      <c r="G53" s="7"/>
      <c r="H53" s="13" t="s">
        <v>131</v>
      </c>
      <c r="I53" s="7" t="s">
        <v>404</v>
      </c>
      <c r="J53" s="7" t="s">
        <v>395</v>
      </c>
      <c r="K53" s="7" t="s">
        <v>133</v>
      </c>
      <c r="L53" s="7" t="s">
        <v>396</v>
      </c>
      <c r="M53" s="9" t="n">
        <v>2631580</v>
      </c>
      <c r="N53" s="10" t="n">
        <v>905000</v>
      </c>
      <c r="O53" s="9" t="n">
        <v>1100772</v>
      </c>
      <c r="P53" s="9" t="n">
        <v>1009927</v>
      </c>
      <c r="Q53" s="9" t="n">
        <v>297916</v>
      </c>
      <c r="R53" s="11" t="n">
        <f aca="false">IF(AND(ISNUMBER(Q53),P53&gt;0),Q53/P53,"")</f>
        <v>0.294987657523762</v>
      </c>
      <c r="S53" s="9" t="n">
        <v>104837</v>
      </c>
      <c r="T53" s="11" t="n">
        <f aca="false">IF(AND(ISNUMBER(S53),Q53&gt;0),S53/Q53,"")</f>
        <v>0.351901207051652</v>
      </c>
      <c r="U53" s="11" t="n">
        <f aca="false">IF(AND(ISNUMBER(O53),O53&gt;0),492518/O53,"")</f>
        <v>0.447429622119749</v>
      </c>
      <c r="V53" s="7" t="n">
        <v>1944</v>
      </c>
      <c r="W53" s="10" t="n">
        <v>80263</v>
      </c>
      <c r="X53" s="12"/>
      <c r="Y53" s="12"/>
      <c r="Z53" s="7" t="s">
        <v>49</v>
      </c>
      <c r="AA53" s="7" t="s">
        <v>50</v>
      </c>
      <c r="AB53" s="7" t="s">
        <v>51</v>
      </c>
      <c r="AC53" s="7" t="s">
        <v>405</v>
      </c>
      <c r="AD53" s="7"/>
      <c r="AE53" s="7" t="s">
        <v>406</v>
      </c>
      <c r="AF53" s="7" t="s">
        <v>399</v>
      </c>
      <c r="AG53" s="7" t="s">
        <v>407</v>
      </c>
    </row>
    <row r="54" customFormat="false" ht="57.45" hidden="false" customHeight="false" outlineLevel="0" collapsed="false">
      <c r="A54" s="7" t="s">
        <v>389</v>
      </c>
      <c r="B54" s="7" t="s">
        <v>390</v>
      </c>
      <c r="C54" s="7" t="s">
        <v>408</v>
      </c>
      <c r="D54" s="7" t="s">
        <v>409</v>
      </c>
      <c r="E54" s="7" t="s">
        <v>410</v>
      </c>
      <c r="F54" s="7" t="s">
        <v>43</v>
      </c>
      <c r="G54" s="7"/>
      <c r="H54" s="13" t="s">
        <v>131</v>
      </c>
      <c r="I54" s="7" t="s">
        <v>411</v>
      </c>
      <c r="J54" s="7" t="s">
        <v>395</v>
      </c>
      <c r="K54" s="7" t="s">
        <v>133</v>
      </c>
      <c r="L54" s="7" t="s">
        <v>396</v>
      </c>
      <c r="M54" s="9" t="n">
        <v>1404779</v>
      </c>
      <c r="N54" s="10" t="n">
        <v>529500</v>
      </c>
      <c r="O54" s="9" t="n">
        <v>559415</v>
      </c>
      <c r="P54" s="9" t="n">
        <v>534100</v>
      </c>
      <c r="Q54" s="9" t="n">
        <v>107175</v>
      </c>
      <c r="R54" s="11" t="n">
        <f aca="false">IF(AND(ISNUMBER(Q54),P54&gt;0),Q54/P54,"")</f>
        <v>0.20066466953754</v>
      </c>
      <c r="S54" s="9" t="n">
        <v>37786</v>
      </c>
      <c r="T54" s="11" t="n">
        <f aca="false">IF(AND(ISNUMBER(S54),Q54&gt;0),S54/Q54,"")</f>
        <v>0.352563564264054</v>
      </c>
      <c r="U54" s="11" t="n">
        <f aca="false">IF(AND(ISNUMBER(O54),O54&gt;0),157733/O54,"")</f>
        <v>0.281960619575807</v>
      </c>
      <c r="V54" s="7" t="n">
        <v>1955</v>
      </c>
      <c r="W54" s="10" t="n">
        <v>48676</v>
      </c>
      <c r="X54" s="12"/>
      <c r="Y54" s="12"/>
      <c r="Z54" s="7" t="s">
        <v>49</v>
      </c>
      <c r="AA54" s="7" t="s">
        <v>50</v>
      </c>
      <c r="AB54" s="7" t="s">
        <v>51</v>
      </c>
      <c r="AC54" s="7" t="s">
        <v>412</v>
      </c>
      <c r="AD54" s="7"/>
      <c r="AE54" s="7" t="s">
        <v>413</v>
      </c>
      <c r="AF54" s="7" t="s">
        <v>399</v>
      </c>
      <c r="AG54" s="7" t="s">
        <v>414</v>
      </c>
    </row>
    <row r="55" customFormat="false" ht="57.45" hidden="false" customHeight="false" outlineLevel="0" collapsed="false">
      <c r="A55" s="7" t="s">
        <v>389</v>
      </c>
      <c r="B55" s="7" t="s">
        <v>390</v>
      </c>
      <c r="C55" s="7" t="s">
        <v>415</v>
      </c>
      <c r="D55" s="7" t="s">
        <v>416</v>
      </c>
      <c r="E55" s="7" t="s">
        <v>417</v>
      </c>
      <c r="F55" s="7" t="s">
        <v>43</v>
      </c>
      <c r="G55" s="7"/>
      <c r="H55" s="13" t="s">
        <v>131</v>
      </c>
      <c r="I55" s="7" t="s">
        <v>418</v>
      </c>
      <c r="J55" s="7" t="s">
        <v>395</v>
      </c>
      <c r="K55" s="7" t="s">
        <v>133</v>
      </c>
      <c r="L55" s="7" t="s">
        <v>396</v>
      </c>
      <c r="M55" s="9" t="n">
        <v>494956</v>
      </c>
      <c r="N55" s="10" t="n">
        <v>675500</v>
      </c>
      <c r="O55" s="9" t="n">
        <v>184621</v>
      </c>
      <c r="P55" s="9" t="n">
        <v>170777</v>
      </c>
      <c r="Q55" s="9" t="n">
        <v>115688</v>
      </c>
      <c r="R55" s="11" t="n">
        <f aca="false">IF(AND(ISNUMBER(Q55),P55&gt;0),Q55/P55,"")</f>
        <v>0.677421432628516</v>
      </c>
      <c r="S55" s="9" t="n">
        <v>36096</v>
      </c>
      <c r="T55" s="11" t="n">
        <f aca="false">IF(AND(ISNUMBER(S55),Q55&gt;0),S55/Q55,"")</f>
        <v>0.312011617453841</v>
      </c>
      <c r="U55" s="11" t="n">
        <f aca="false">IF(AND(ISNUMBER(O55),O55&gt;0),159517/O55,"")</f>
        <v>0.864024135932532</v>
      </c>
      <c r="V55" s="7" t="n">
        <v>1974</v>
      </c>
      <c r="W55" s="10" t="n">
        <v>98333</v>
      </c>
      <c r="X55" s="12"/>
      <c r="Y55" s="12"/>
      <c r="Z55" s="7" t="s">
        <v>49</v>
      </c>
      <c r="AA55" s="7" t="s">
        <v>50</v>
      </c>
      <c r="AB55" s="7" t="s">
        <v>51</v>
      </c>
      <c r="AC55" s="7" t="s">
        <v>419</v>
      </c>
      <c r="AD55" s="7"/>
      <c r="AE55" s="7" t="s">
        <v>420</v>
      </c>
      <c r="AF55" s="7" t="s">
        <v>399</v>
      </c>
      <c r="AG55" s="7" t="s">
        <v>421</v>
      </c>
    </row>
    <row r="56" customFormat="false" ht="57.45" hidden="false" customHeight="false" outlineLevel="0" collapsed="false">
      <c r="A56" s="7" t="s">
        <v>389</v>
      </c>
      <c r="B56" s="7" t="s">
        <v>390</v>
      </c>
      <c r="C56" s="7" t="s">
        <v>422</v>
      </c>
      <c r="D56" s="7" t="s">
        <v>423</v>
      </c>
      <c r="E56" s="7" t="s">
        <v>424</v>
      </c>
      <c r="F56" s="7" t="s">
        <v>43</v>
      </c>
      <c r="G56" s="7"/>
      <c r="H56" s="14" t="s">
        <v>171</v>
      </c>
      <c r="I56" s="7" t="s">
        <v>425</v>
      </c>
      <c r="J56" s="7" t="s">
        <v>173</v>
      </c>
      <c r="K56" s="7" t="s">
        <v>133</v>
      </c>
      <c r="L56" s="7" t="s">
        <v>174</v>
      </c>
      <c r="M56" s="9" t="n">
        <v>1629477</v>
      </c>
      <c r="N56" s="10" t="n">
        <v>1090500</v>
      </c>
      <c r="O56" s="9" t="n">
        <v>923472</v>
      </c>
      <c r="P56" s="9" t="n">
        <v>778281</v>
      </c>
      <c r="Q56" s="9" t="n">
        <v>194982</v>
      </c>
      <c r="R56" s="11" t="n">
        <f aca="false">IF(AND(ISNUMBER(Q56),P56&gt;0),Q56/P56,"")</f>
        <v>0.25052905056143</v>
      </c>
      <c r="S56" s="9" t="n">
        <v>70646</v>
      </c>
      <c r="T56" s="11" t="n">
        <f aca="false">IF(AND(ISNUMBER(S56),Q56&gt;0),S56/Q56,"")</f>
        <v>0.3623206244679</v>
      </c>
      <c r="U56" s="11" t="n">
        <f aca="false">IF(AND(ISNUMBER(O56),O56&gt;0),43366/O56,"")</f>
        <v>0.0469597345669387</v>
      </c>
      <c r="V56" s="7" t="n">
        <v>1951</v>
      </c>
      <c r="W56" s="10" t="n">
        <v>103931</v>
      </c>
      <c r="X56" s="12"/>
      <c r="Y56" s="12"/>
      <c r="Z56" s="7" t="s">
        <v>49</v>
      </c>
      <c r="AA56" s="7" t="s">
        <v>50</v>
      </c>
      <c r="AB56" s="7" t="s">
        <v>51</v>
      </c>
      <c r="AC56" s="7" t="s">
        <v>426</v>
      </c>
      <c r="AD56" s="7"/>
      <c r="AE56" s="7" t="s">
        <v>427</v>
      </c>
      <c r="AF56" s="7" t="s">
        <v>399</v>
      </c>
      <c r="AG56" s="7" t="s">
        <v>428</v>
      </c>
    </row>
    <row r="57" customFormat="false" ht="57.45" hidden="false" customHeight="false" outlineLevel="0" collapsed="false">
      <c r="A57" s="7" t="s">
        <v>389</v>
      </c>
      <c r="B57" s="7" t="s">
        <v>429</v>
      </c>
      <c r="C57" s="7" t="s">
        <v>430</v>
      </c>
      <c r="D57" s="7" t="s">
        <v>431</v>
      </c>
      <c r="E57" s="7" t="s">
        <v>432</v>
      </c>
      <c r="F57" s="7" t="s">
        <v>43</v>
      </c>
      <c r="G57" s="7"/>
      <c r="H57" s="13" t="s">
        <v>131</v>
      </c>
      <c r="I57" s="7" t="s">
        <v>433</v>
      </c>
      <c r="J57" s="7" t="s">
        <v>395</v>
      </c>
      <c r="K57" s="7" t="s">
        <v>133</v>
      </c>
      <c r="L57" s="7" t="s">
        <v>396</v>
      </c>
      <c r="M57" s="9" t="n">
        <v>1389591</v>
      </c>
      <c r="N57" s="10" t="n">
        <v>684700</v>
      </c>
      <c r="O57" s="9" t="n">
        <v>479044</v>
      </c>
      <c r="P57" s="9" t="n">
        <v>458166</v>
      </c>
      <c r="Q57" s="9" t="n">
        <v>375466</v>
      </c>
      <c r="R57" s="11" t="n">
        <f aca="false">IF(AND(ISNUMBER(Q57),P57&gt;0),Q57/P57,"")</f>
        <v>0.819497736628209</v>
      </c>
      <c r="S57" s="9" t="n">
        <v>125819</v>
      </c>
      <c r="T57" s="11" t="n">
        <f aca="false">IF(AND(ISNUMBER(S57),Q57&gt;0),S57/Q57,"")</f>
        <v>0.335100914596794</v>
      </c>
      <c r="U57" s="11" t="n">
        <f aca="false">IF(AND(ISNUMBER(O57),O57&gt;0),415697/O57,"")</f>
        <v>0.86776371272785</v>
      </c>
      <c r="V57" s="7" t="n">
        <v>1955</v>
      </c>
      <c r="W57" s="10" t="n">
        <v>146202</v>
      </c>
      <c r="X57" s="12"/>
      <c r="Y57" s="12"/>
      <c r="Z57" s="7" t="s">
        <v>49</v>
      </c>
      <c r="AA57" s="7" t="s">
        <v>50</v>
      </c>
      <c r="AB57" s="7" t="s">
        <v>51</v>
      </c>
      <c r="AC57" s="7" t="s">
        <v>434</v>
      </c>
      <c r="AD57" s="7"/>
      <c r="AE57" s="7" t="s">
        <v>435</v>
      </c>
      <c r="AF57" s="7" t="s">
        <v>436</v>
      </c>
      <c r="AG57" s="7" t="s">
        <v>437</v>
      </c>
    </row>
    <row r="58" customFormat="false" ht="57.45" hidden="false" customHeight="false" outlineLevel="0" collapsed="false">
      <c r="A58" s="7" t="s">
        <v>389</v>
      </c>
      <c r="B58" s="7" t="s">
        <v>429</v>
      </c>
      <c r="C58" s="7" t="s">
        <v>438</v>
      </c>
      <c r="D58" s="7" t="s">
        <v>439</v>
      </c>
      <c r="E58" s="7" t="s">
        <v>440</v>
      </c>
      <c r="F58" s="7" t="s">
        <v>43</v>
      </c>
      <c r="G58" s="7"/>
      <c r="H58" s="13" t="s">
        <v>131</v>
      </c>
      <c r="I58" s="7" t="s">
        <v>441</v>
      </c>
      <c r="J58" s="7" t="s">
        <v>395</v>
      </c>
      <c r="K58" s="7" t="s">
        <v>133</v>
      </c>
      <c r="L58" s="7" t="s">
        <v>396</v>
      </c>
      <c r="M58" s="9" t="n">
        <v>1530146</v>
      </c>
      <c r="N58" s="10" t="n">
        <v>578400</v>
      </c>
      <c r="O58" s="9" t="n">
        <v>580772</v>
      </c>
      <c r="P58" s="9" t="n">
        <v>512565</v>
      </c>
      <c r="Q58" s="9" t="n">
        <v>421146</v>
      </c>
      <c r="R58" s="11" t="n">
        <f aca="false">IF(AND(ISNUMBER(Q58),P58&gt;0),Q58/P58,"")</f>
        <v>0.821644084164935</v>
      </c>
      <c r="S58" s="9" t="n">
        <v>137065</v>
      </c>
      <c r="T58" s="11" t="n">
        <f aca="false">IF(AND(ISNUMBER(S58),Q58&gt;0),S58/Q58,"")</f>
        <v>0.325457204864821</v>
      </c>
      <c r="U58" s="11" t="n">
        <f aca="false">IF(AND(ISNUMBER(O58),O58&gt;0),524675/O58,"")</f>
        <v>0.903409599636346</v>
      </c>
      <c r="V58" s="7" t="n">
        <v>1970</v>
      </c>
      <c r="W58" s="10" t="n">
        <v>130686</v>
      </c>
      <c r="X58" s="12"/>
      <c r="Y58" s="12"/>
      <c r="Z58" s="7" t="s">
        <v>49</v>
      </c>
      <c r="AA58" s="7" t="s">
        <v>50</v>
      </c>
      <c r="AB58" s="7" t="s">
        <v>51</v>
      </c>
      <c r="AC58" s="7" t="s">
        <v>442</v>
      </c>
      <c r="AD58" s="7"/>
      <c r="AE58" s="7" t="s">
        <v>443</v>
      </c>
      <c r="AF58" s="7" t="s">
        <v>436</v>
      </c>
      <c r="AG58" s="7" t="s">
        <v>444</v>
      </c>
    </row>
    <row r="59" customFormat="false" ht="57.45" hidden="false" customHeight="false" outlineLevel="0" collapsed="false">
      <c r="A59" s="7" t="s">
        <v>389</v>
      </c>
      <c r="B59" s="7" t="s">
        <v>445</v>
      </c>
      <c r="C59" s="7" t="s">
        <v>446</v>
      </c>
      <c r="D59" s="7" t="s">
        <v>447</v>
      </c>
      <c r="E59" s="7" t="s">
        <v>448</v>
      </c>
      <c r="F59" s="7" t="s">
        <v>43</v>
      </c>
      <c r="G59" s="7"/>
      <c r="H59" s="13" t="s">
        <v>131</v>
      </c>
      <c r="I59" s="7" t="s">
        <v>449</v>
      </c>
      <c r="J59" s="7" t="s">
        <v>395</v>
      </c>
      <c r="K59" s="7" t="s">
        <v>133</v>
      </c>
      <c r="L59" s="7" t="s">
        <v>396</v>
      </c>
      <c r="M59" s="9" t="n">
        <v>999677</v>
      </c>
      <c r="N59" s="10" t="n">
        <v>663200</v>
      </c>
      <c r="O59" s="9" t="n">
        <v>394358</v>
      </c>
      <c r="P59" s="9" t="n">
        <v>372883</v>
      </c>
      <c r="Q59" s="9" t="n">
        <v>230602</v>
      </c>
      <c r="R59" s="11" t="n">
        <f aca="false">IF(AND(ISNUMBER(Q59),P59&gt;0),Q59/P59,"")</f>
        <v>0.618429909649944</v>
      </c>
      <c r="S59" s="9" t="n">
        <v>78921</v>
      </c>
      <c r="T59" s="11" t="n">
        <f aca="false">IF(AND(ISNUMBER(S59),Q59&gt;0),S59/Q59,"")</f>
        <v>0.342239009202002</v>
      </c>
      <c r="U59" s="11" t="n">
        <f aca="false">IF(AND(ISNUMBER(O59),O59&gt;0),254215/O59,"")</f>
        <v>0.644630006237987</v>
      </c>
      <c r="V59" s="7" t="n">
        <v>1959</v>
      </c>
      <c r="W59" s="10" t="n">
        <v>118976</v>
      </c>
      <c r="X59" s="12"/>
      <c r="Y59" s="12"/>
      <c r="Z59" s="7" t="s">
        <v>49</v>
      </c>
      <c r="AA59" s="7" t="s">
        <v>50</v>
      </c>
      <c r="AB59" s="7" t="s">
        <v>51</v>
      </c>
      <c r="AC59" s="7" t="s">
        <v>450</v>
      </c>
      <c r="AD59" s="7"/>
      <c r="AE59" s="7" t="s">
        <v>451</v>
      </c>
      <c r="AF59" s="7" t="s">
        <v>452</v>
      </c>
      <c r="AG59" s="7" t="s">
        <v>453</v>
      </c>
    </row>
    <row r="60" customFormat="false" ht="57.45" hidden="false" customHeight="false" outlineLevel="0" collapsed="false">
      <c r="A60" s="7" t="s">
        <v>389</v>
      </c>
      <c r="B60" s="7" t="s">
        <v>445</v>
      </c>
      <c r="C60" s="7" t="s">
        <v>454</v>
      </c>
      <c r="D60" s="7" t="s">
        <v>455</v>
      </c>
      <c r="E60" s="7" t="s">
        <v>456</v>
      </c>
      <c r="F60" s="7" t="s">
        <v>43</v>
      </c>
      <c r="G60" s="7"/>
      <c r="H60" s="13" t="s">
        <v>131</v>
      </c>
      <c r="I60" s="7" t="s">
        <v>457</v>
      </c>
      <c r="J60" s="7" t="s">
        <v>395</v>
      </c>
      <c r="K60" s="7" t="s">
        <v>133</v>
      </c>
      <c r="L60" s="7" t="s">
        <v>396</v>
      </c>
      <c r="M60" s="9" t="n">
        <v>341883</v>
      </c>
      <c r="N60" s="10" t="n">
        <v>596900</v>
      </c>
      <c r="O60" s="9" t="n">
        <v>108945</v>
      </c>
      <c r="P60" s="9" t="n">
        <v>103879</v>
      </c>
      <c r="Q60" s="9" t="n">
        <v>70564</v>
      </c>
      <c r="R60" s="11" t="n">
        <f aca="false">IF(AND(ISNUMBER(Q60),P60&gt;0),Q60/P60,"")</f>
        <v>0.679290328170275</v>
      </c>
      <c r="S60" s="9" t="n">
        <v>24321</v>
      </c>
      <c r="T60" s="11" t="n">
        <f aca="false">IF(AND(ISNUMBER(S60),Q60&gt;0),S60/Q60,"")</f>
        <v>0.344665835270109</v>
      </c>
      <c r="U60" s="11" t="n">
        <f aca="false">IF(AND(ISNUMBER(O60),O60&gt;0),86320/O60,"")</f>
        <v>0.792326403230988</v>
      </c>
      <c r="V60" s="7" t="n">
        <v>1971</v>
      </c>
      <c r="W60" s="10" t="n">
        <v>109959</v>
      </c>
      <c r="X60" s="12"/>
      <c r="Y60" s="12"/>
      <c r="Z60" s="7" t="s">
        <v>49</v>
      </c>
      <c r="AA60" s="7" t="s">
        <v>50</v>
      </c>
      <c r="AB60" s="7" t="s">
        <v>51</v>
      </c>
      <c r="AC60" s="7" t="s">
        <v>458</v>
      </c>
      <c r="AD60" s="7"/>
      <c r="AE60" s="7" t="s">
        <v>459</v>
      </c>
      <c r="AF60" s="7" t="s">
        <v>452</v>
      </c>
      <c r="AG60" s="7" t="s">
        <v>460</v>
      </c>
    </row>
    <row r="61" customFormat="false" ht="57.45" hidden="false" customHeight="false" outlineLevel="0" collapsed="false">
      <c r="A61" s="7" t="s">
        <v>389</v>
      </c>
      <c r="B61" s="7" t="s">
        <v>445</v>
      </c>
      <c r="C61" s="7" t="s">
        <v>461</v>
      </c>
      <c r="D61" s="7" t="s">
        <v>462</v>
      </c>
      <c r="E61" s="7" t="s">
        <v>463</v>
      </c>
      <c r="F61" s="7" t="s">
        <v>43</v>
      </c>
      <c r="G61" s="7"/>
      <c r="H61" s="14" t="s">
        <v>171</v>
      </c>
      <c r="I61" s="7" t="s">
        <v>464</v>
      </c>
      <c r="J61" s="7" t="s">
        <v>173</v>
      </c>
      <c r="K61" s="7" t="s">
        <v>133</v>
      </c>
      <c r="L61" s="7" t="s">
        <v>174</v>
      </c>
      <c r="M61" s="9" t="n">
        <v>406616</v>
      </c>
      <c r="N61" s="10" t="n">
        <v>387900</v>
      </c>
      <c r="O61" s="9" t="n">
        <v>149699</v>
      </c>
      <c r="P61" s="9" t="n">
        <v>138608</v>
      </c>
      <c r="Q61" s="9" t="n">
        <v>94002</v>
      </c>
      <c r="R61" s="11" t="n">
        <f aca="false">IF(AND(ISNUMBER(Q61),P61&gt;0),Q61/P61,"")</f>
        <v>0.678185963292162</v>
      </c>
      <c r="S61" s="9" t="n">
        <v>26746</v>
      </c>
      <c r="T61" s="11" t="n">
        <f aca="false">IF(AND(ISNUMBER(S61),Q61&gt;0),S61/Q61,"")</f>
        <v>0.28452586115189</v>
      </c>
      <c r="U61" s="11" t="n">
        <f aca="false">IF(AND(ISNUMBER(O61),O61&gt;0),119865/O61,"")</f>
        <v>0.800706751548107</v>
      </c>
      <c r="V61" s="7" t="n">
        <v>1975</v>
      </c>
      <c r="W61" s="10" t="n">
        <v>97178</v>
      </c>
      <c r="X61" s="12"/>
      <c r="Y61" s="12"/>
      <c r="Z61" s="7" t="s">
        <v>49</v>
      </c>
      <c r="AA61" s="7" t="s">
        <v>50</v>
      </c>
      <c r="AB61" s="7" t="s">
        <v>51</v>
      </c>
      <c r="AC61" s="7" t="s">
        <v>465</v>
      </c>
      <c r="AD61" s="7"/>
      <c r="AE61" s="7" t="s">
        <v>466</v>
      </c>
      <c r="AF61" s="7" t="s">
        <v>452</v>
      </c>
      <c r="AG61" s="7" t="s">
        <v>467</v>
      </c>
    </row>
    <row r="62" customFormat="false" ht="57.45" hidden="false" customHeight="false" outlineLevel="0" collapsed="false">
      <c r="A62" s="7" t="s">
        <v>389</v>
      </c>
      <c r="B62" s="7" t="s">
        <v>445</v>
      </c>
      <c r="C62" s="7" t="s">
        <v>468</v>
      </c>
      <c r="D62" s="7" t="s">
        <v>469</v>
      </c>
      <c r="E62" s="7" t="s">
        <v>470</v>
      </c>
      <c r="F62" s="7" t="s">
        <v>43</v>
      </c>
      <c r="G62" s="7"/>
      <c r="H62" s="14" t="s">
        <v>171</v>
      </c>
      <c r="I62" s="7" t="s">
        <v>471</v>
      </c>
      <c r="J62" s="7" t="s">
        <v>173</v>
      </c>
      <c r="K62" s="7" t="s">
        <v>133</v>
      </c>
      <c r="L62" s="7" t="s">
        <v>174</v>
      </c>
      <c r="M62" s="9" t="n">
        <v>98107</v>
      </c>
      <c r="N62" s="10" t="n">
        <v>471300</v>
      </c>
      <c r="O62" s="9" t="n">
        <v>38450</v>
      </c>
      <c r="P62" s="9" t="n">
        <v>35545</v>
      </c>
      <c r="Q62" s="9" t="n">
        <v>29778</v>
      </c>
      <c r="R62" s="11" t="n">
        <f aca="false">IF(AND(ISNUMBER(Q62),P62&gt;0),Q62/P62,"")</f>
        <v>0.837754958503306</v>
      </c>
      <c r="S62" s="9" t="n">
        <v>9396</v>
      </c>
      <c r="T62" s="11" t="n">
        <f aca="false">IF(AND(ISNUMBER(S62),Q62&gt;0),S62/Q62,"")</f>
        <v>0.315534958694338</v>
      </c>
      <c r="U62" s="11" t="n">
        <f aca="false">IF(AND(ISNUMBER(O62),O62&gt;0),35680/O62,"")</f>
        <v>0.927958387516255</v>
      </c>
      <c r="V62" s="7" t="n">
        <v>1968</v>
      </c>
      <c r="W62" s="10" t="n">
        <v>126257</v>
      </c>
      <c r="X62" s="12"/>
      <c r="Y62" s="12"/>
      <c r="Z62" s="7" t="s">
        <v>49</v>
      </c>
      <c r="AA62" s="7" t="s">
        <v>50</v>
      </c>
      <c r="AB62" s="7" t="s">
        <v>51</v>
      </c>
      <c r="AC62" s="7" t="s">
        <v>472</v>
      </c>
      <c r="AD62" s="7"/>
      <c r="AE62" s="7" t="s">
        <v>473</v>
      </c>
      <c r="AF62" s="7" t="s">
        <v>452</v>
      </c>
      <c r="AG62" s="7" t="s">
        <v>474</v>
      </c>
    </row>
    <row r="63" customFormat="false" ht="57.45" hidden="false" customHeight="false" outlineLevel="0" collapsed="false">
      <c r="A63" s="7" t="s">
        <v>389</v>
      </c>
      <c r="B63" s="7" t="s">
        <v>445</v>
      </c>
      <c r="C63" s="7" t="s">
        <v>475</v>
      </c>
      <c r="D63" s="7" t="s">
        <v>476</v>
      </c>
      <c r="E63" s="7" t="s">
        <v>477</v>
      </c>
      <c r="F63" s="7" t="s">
        <v>43</v>
      </c>
      <c r="G63" s="7"/>
      <c r="H63" s="14" t="s">
        <v>171</v>
      </c>
      <c r="I63" s="7" t="s">
        <v>478</v>
      </c>
      <c r="J63" s="7" t="s">
        <v>173</v>
      </c>
      <c r="K63" s="7" t="s">
        <v>133</v>
      </c>
      <c r="L63" s="7" t="s">
        <v>174</v>
      </c>
      <c r="M63" s="9" t="n">
        <v>298220</v>
      </c>
      <c r="N63" s="10" t="n">
        <v>400600</v>
      </c>
      <c r="O63" s="9" t="n">
        <v>123169</v>
      </c>
      <c r="P63" s="9" t="n">
        <v>116275</v>
      </c>
      <c r="Q63" s="9" t="n">
        <v>80447</v>
      </c>
      <c r="R63" s="11" t="n">
        <f aca="false">IF(AND(ISNUMBER(Q63),P63&gt;0),Q63/P63,"")</f>
        <v>0.691868415394539</v>
      </c>
      <c r="S63" s="9" t="n">
        <v>27034</v>
      </c>
      <c r="T63" s="11" t="n">
        <f aca="false">IF(AND(ISNUMBER(S63),Q63&gt;0),S63/Q63,"")</f>
        <v>0.336047335512822</v>
      </c>
      <c r="U63" s="11" t="n">
        <f aca="false">IF(AND(ISNUMBER(O63),O63&gt;0),100446/O63,"")</f>
        <v>0.815513643855191</v>
      </c>
      <c r="V63" s="7" t="n">
        <v>1971</v>
      </c>
      <c r="W63" s="10" t="n">
        <v>99478</v>
      </c>
      <c r="X63" s="12"/>
      <c r="Y63" s="12"/>
      <c r="Z63" s="7" t="s">
        <v>49</v>
      </c>
      <c r="AA63" s="7" t="s">
        <v>50</v>
      </c>
      <c r="AB63" s="7" t="s">
        <v>51</v>
      </c>
      <c r="AC63" s="7" t="s">
        <v>479</v>
      </c>
      <c r="AD63" s="7"/>
      <c r="AE63" s="7" t="s">
        <v>480</v>
      </c>
      <c r="AF63" s="7" t="s">
        <v>452</v>
      </c>
      <c r="AG63" s="7" t="s">
        <v>481</v>
      </c>
    </row>
    <row r="64" customFormat="false" ht="57.45" hidden="false" customHeight="false" outlineLevel="0" collapsed="false">
      <c r="A64" s="7" t="s">
        <v>389</v>
      </c>
      <c r="B64" s="7" t="s">
        <v>445</v>
      </c>
      <c r="C64" s="7" t="s">
        <v>482</v>
      </c>
      <c r="D64" s="7" t="s">
        <v>483</v>
      </c>
      <c r="E64" s="7" t="s">
        <v>484</v>
      </c>
      <c r="F64" s="7" t="s">
        <v>43</v>
      </c>
      <c r="G64" s="7"/>
      <c r="H64" s="15" t="s">
        <v>202</v>
      </c>
      <c r="I64" s="7" t="s">
        <v>485</v>
      </c>
      <c r="J64" s="7" t="s">
        <v>204</v>
      </c>
      <c r="K64" s="7" t="s">
        <v>205</v>
      </c>
      <c r="L64" s="7" t="s">
        <v>206</v>
      </c>
      <c r="M64" s="9" t="n">
        <v>182601</v>
      </c>
      <c r="N64" s="10" t="n">
        <v>352500</v>
      </c>
      <c r="O64" s="9" t="n">
        <v>86503</v>
      </c>
      <c r="P64" s="9" t="n">
        <v>74278</v>
      </c>
      <c r="Q64" s="9" t="n">
        <v>51924</v>
      </c>
      <c r="R64" s="11" t="n">
        <f aca="false">IF(AND(ISNUMBER(Q64),P64&gt;0),Q64/P64,"")</f>
        <v>0.699049516680578</v>
      </c>
      <c r="S64" s="9" t="n">
        <v>19398</v>
      </c>
      <c r="T64" s="11" t="n">
        <f aca="false">IF(AND(ISNUMBER(S64),Q64&gt;0),S64/Q64,"")</f>
        <v>0.373584469609429</v>
      </c>
      <c r="U64" s="11" t="n">
        <f aca="false">IF(AND(ISNUMBER(O64),O64&gt;0),72775/O64,"")</f>
        <v>0.84130030172364</v>
      </c>
      <c r="V64" s="7" t="n">
        <v>1966</v>
      </c>
      <c r="W64" s="10" t="n">
        <v>86271</v>
      </c>
      <c r="X64" s="12"/>
      <c r="Y64" s="12"/>
      <c r="Z64" s="7" t="s">
        <v>49</v>
      </c>
      <c r="AA64" s="7" t="s">
        <v>50</v>
      </c>
      <c r="AB64" s="7" t="s">
        <v>51</v>
      </c>
      <c r="AC64" s="7" t="s">
        <v>486</v>
      </c>
      <c r="AD64" s="7"/>
      <c r="AE64" s="7"/>
      <c r="AF64" s="7" t="s">
        <v>452</v>
      </c>
      <c r="AG64" s="7"/>
    </row>
    <row r="65" customFormat="false" ht="57.45" hidden="false" customHeight="false" outlineLevel="0" collapsed="false">
      <c r="A65" s="7" t="s">
        <v>389</v>
      </c>
      <c r="B65" s="7" t="s">
        <v>445</v>
      </c>
      <c r="C65" s="7" t="s">
        <v>487</v>
      </c>
      <c r="D65" s="7" t="s">
        <v>488</v>
      </c>
      <c r="E65" s="7" t="s">
        <v>489</v>
      </c>
      <c r="F65" s="7" t="s">
        <v>43</v>
      </c>
      <c r="G65" s="7"/>
      <c r="H65" s="15" t="s">
        <v>202</v>
      </c>
      <c r="I65" s="7" t="s">
        <v>211</v>
      </c>
      <c r="J65" s="7" t="s">
        <v>204</v>
      </c>
      <c r="K65" s="7" t="s">
        <v>205</v>
      </c>
      <c r="L65" s="7" t="s">
        <v>206</v>
      </c>
      <c r="M65" s="9" t="n">
        <v>79721</v>
      </c>
      <c r="N65" s="10" t="n">
        <v>249000</v>
      </c>
      <c r="O65" s="9" t="n">
        <v>49994</v>
      </c>
      <c r="P65" s="9" t="n">
        <v>31434</v>
      </c>
      <c r="Q65" s="9" t="n">
        <v>21178</v>
      </c>
      <c r="R65" s="11" t="n">
        <f aca="false">IF(AND(ISNUMBER(Q65),P65&gt;0),Q65/P65,"")</f>
        <v>0.673729083158364</v>
      </c>
      <c r="S65" s="9" t="n">
        <v>8077</v>
      </c>
      <c r="T65" s="11" t="n">
        <f aca="false">IF(AND(ISNUMBER(S65),Q65&gt;0),S65/Q65,"")</f>
        <v>0.381386344319577</v>
      </c>
      <c r="U65" s="11" t="n">
        <f aca="false">IF(AND(ISNUMBER(O65),O65&gt;0),41945/O65,"")</f>
        <v>0.83900068008161</v>
      </c>
      <c r="V65" s="7" t="n">
        <v>1974</v>
      </c>
      <c r="W65" s="10" t="n">
        <v>72382</v>
      </c>
      <c r="X65" s="12"/>
      <c r="Y65" s="12"/>
      <c r="Z65" s="7" t="s">
        <v>49</v>
      </c>
      <c r="AA65" s="7" t="s">
        <v>50</v>
      </c>
      <c r="AB65" s="7" t="s">
        <v>51</v>
      </c>
      <c r="AC65" s="7" t="s">
        <v>490</v>
      </c>
      <c r="AD65" s="7"/>
      <c r="AE65" s="7"/>
      <c r="AF65" s="7" t="s">
        <v>452</v>
      </c>
      <c r="AG65" s="7"/>
    </row>
    <row r="66" customFormat="false" ht="57.45" hidden="false" customHeight="false" outlineLevel="0" collapsed="false">
      <c r="A66" s="7" t="s">
        <v>389</v>
      </c>
      <c r="B66" s="7" t="s">
        <v>445</v>
      </c>
      <c r="C66" s="7" t="s">
        <v>119</v>
      </c>
      <c r="D66" s="7" t="s">
        <v>491</v>
      </c>
      <c r="E66" s="7" t="s">
        <v>492</v>
      </c>
      <c r="F66" s="7" t="s">
        <v>43</v>
      </c>
      <c r="G66" s="7"/>
      <c r="H66" s="15" t="s">
        <v>202</v>
      </c>
      <c r="I66" s="7" t="s">
        <v>211</v>
      </c>
      <c r="J66" s="7" t="s">
        <v>204</v>
      </c>
      <c r="K66" s="7" t="s">
        <v>205</v>
      </c>
      <c r="L66" s="7" t="s">
        <v>206</v>
      </c>
      <c r="M66" s="9" t="n">
        <v>61100</v>
      </c>
      <c r="N66" s="10" t="n">
        <v>347100</v>
      </c>
      <c r="O66" s="9" t="n">
        <v>33393</v>
      </c>
      <c r="P66" s="9" t="n">
        <v>26627</v>
      </c>
      <c r="Q66" s="9" t="n">
        <v>20315</v>
      </c>
      <c r="R66" s="11" t="n">
        <f aca="false">IF(AND(ISNUMBER(Q66),P66&gt;0),Q66/P66,"")</f>
        <v>0.762947384234048</v>
      </c>
      <c r="S66" s="9" t="n">
        <v>8392</v>
      </c>
      <c r="T66" s="11" t="n">
        <f aca="false">IF(AND(ISNUMBER(S66),Q66&gt;0),S66/Q66,"")</f>
        <v>0.413093773074083</v>
      </c>
      <c r="U66" s="11" t="n">
        <f aca="false">IF(AND(ISNUMBER(O66),O66&gt;0),28734/O66,"")</f>
        <v>0.860479741263139</v>
      </c>
      <c r="V66" s="7" t="n">
        <v>1966</v>
      </c>
      <c r="W66" s="10" t="n">
        <v>81528</v>
      </c>
      <c r="X66" s="12"/>
      <c r="Y66" s="12"/>
      <c r="Z66" s="7" t="s">
        <v>49</v>
      </c>
      <c r="AA66" s="7" t="s">
        <v>50</v>
      </c>
      <c r="AB66" s="7" t="s">
        <v>51</v>
      </c>
      <c r="AC66" s="7" t="s">
        <v>493</v>
      </c>
      <c r="AD66" s="7"/>
      <c r="AE66" s="7"/>
      <c r="AF66" s="7" t="s">
        <v>452</v>
      </c>
      <c r="AG66" s="7"/>
    </row>
    <row r="67" customFormat="false" ht="57.45" hidden="false" customHeight="false" outlineLevel="0" collapsed="false">
      <c r="A67" s="7" t="s">
        <v>389</v>
      </c>
      <c r="B67" s="7" t="s">
        <v>445</v>
      </c>
      <c r="C67" s="7" t="s">
        <v>494</v>
      </c>
      <c r="D67" s="7" t="s">
        <v>495</v>
      </c>
      <c r="E67" s="7" t="s">
        <v>496</v>
      </c>
      <c r="F67" s="7" t="s">
        <v>43</v>
      </c>
      <c r="G67" s="7"/>
      <c r="H67" s="15" t="s">
        <v>202</v>
      </c>
      <c r="I67" s="7" t="s">
        <v>211</v>
      </c>
      <c r="J67" s="7" t="s">
        <v>204</v>
      </c>
      <c r="K67" s="7" t="s">
        <v>205</v>
      </c>
      <c r="L67" s="7" t="s">
        <v>206</v>
      </c>
      <c r="M67" s="9" t="n">
        <v>47409</v>
      </c>
      <c r="N67" s="10" t="n">
        <v>271600</v>
      </c>
      <c r="O67" s="9" t="n">
        <v>29080</v>
      </c>
      <c r="P67" s="9" t="n">
        <v>18674</v>
      </c>
      <c r="Q67" s="9" t="n">
        <v>14422</v>
      </c>
      <c r="R67" s="11" t="n">
        <f aca="false">IF(AND(ISNUMBER(Q67),P67&gt;0),Q67/P67,"")</f>
        <v>0.772303737817286</v>
      </c>
      <c r="S67" s="9" t="n">
        <v>5845</v>
      </c>
      <c r="T67" s="11" t="n">
        <f aca="false">IF(AND(ISNUMBER(S67),Q67&gt;0),S67/Q67,"")</f>
        <v>0.40528359450839</v>
      </c>
      <c r="U67" s="11" t="n">
        <f aca="false">IF(AND(ISNUMBER(O67),O67&gt;0),25385/O67,"")</f>
        <v>0.872936726272352</v>
      </c>
      <c r="V67" s="7" t="n">
        <v>1972</v>
      </c>
      <c r="W67" s="10" t="n">
        <v>77945</v>
      </c>
      <c r="X67" s="12"/>
      <c r="Y67" s="12"/>
      <c r="Z67" s="7" t="s">
        <v>49</v>
      </c>
      <c r="AA67" s="7" t="s">
        <v>50</v>
      </c>
      <c r="AB67" s="7" t="s">
        <v>51</v>
      </c>
      <c r="AC67" s="7" t="s">
        <v>497</v>
      </c>
      <c r="AD67" s="7"/>
      <c r="AE67" s="7"/>
      <c r="AF67" s="7" t="s">
        <v>452</v>
      </c>
      <c r="AG67" s="7"/>
    </row>
    <row r="68" customFormat="false" ht="68.65" hidden="false" customHeight="false" outlineLevel="0" collapsed="false">
      <c r="A68" s="7" t="s">
        <v>498</v>
      </c>
      <c r="B68" s="7" t="s">
        <v>499</v>
      </c>
      <c r="C68" s="7" t="s">
        <v>500</v>
      </c>
      <c r="D68" s="7" t="s">
        <v>501</v>
      </c>
      <c r="E68" s="7" t="s">
        <v>502</v>
      </c>
      <c r="F68" s="16" t="s">
        <v>503</v>
      </c>
      <c r="G68" s="7" t="s">
        <v>504</v>
      </c>
      <c r="H68" s="17"/>
      <c r="I68" s="7" t="s">
        <v>505</v>
      </c>
      <c r="J68" s="7"/>
      <c r="K68" s="7" t="s">
        <v>506</v>
      </c>
      <c r="L68" s="7" t="s">
        <v>507</v>
      </c>
      <c r="M68" s="9" t="n">
        <v>627071</v>
      </c>
      <c r="N68" s="10" t="n">
        <v>652900</v>
      </c>
      <c r="O68" s="9" t="n">
        <v>251530</v>
      </c>
      <c r="P68" s="9" t="n">
        <v>235379</v>
      </c>
      <c r="Q68" s="9" t="n">
        <v>156319</v>
      </c>
      <c r="R68" s="11" t="n">
        <f aca="false">IF(AND(ISNUMBER(Q68),P68&gt;0),Q68/P68,"")</f>
        <v>0.66411617009164</v>
      </c>
      <c r="S68" s="9" t="n">
        <v>50115</v>
      </c>
      <c r="T68" s="11" t="n">
        <f aca="false">IF(AND(ISNUMBER(S68),Q68&gt;0),S68/Q68,"")</f>
        <v>0.320594425501699</v>
      </c>
      <c r="U68" s="11" t="n">
        <f aca="false">IF(AND(ISNUMBER(O68),O68&gt;0),192875/O68,"")</f>
        <v>0.766807140301356</v>
      </c>
      <c r="V68" s="7" t="n">
        <v>1971</v>
      </c>
      <c r="W68" s="10" t="n">
        <v>128188</v>
      </c>
      <c r="X68" s="12"/>
      <c r="Y68" s="12"/>
      <c r="Z68" s="7" t="s">
        <v>508</v>
      </c>
      <c r="AA68" s="7" t="s">
        <v>50</v>
      </c>
      <c r="AB68" s="7" t="s">
        <v>51</v>
      </c>
      <c r="AC68" s="7" t="s">
        <v>509</v>
      </c>
      <c r="AD68" s="7"/>
      <c r="AE68" s="7"/>
      <c r="AF68" s="7"/>
      <c r="AG68" s="7"/>
    </row>
    <row r="69" customFormat="false" ht="68.65" hidden="false" customHeight="false" outlineLevel="0" collapsed="false">
      <c r="A69" s="7" t="s">
        <v>498</v>
      </c>
      <c r="B69" s="7" t="s">
        <v>499</v>
      </c>
      <c r="C69" s="7" t="s">
        <v>510</v>
      </c>
      <c r="D69" s="7" t="s">
        <v>511</v>
      </c>
      <c r="E69" s="7" t="s">
        <v>512</v>
      </c>
      <c r="F69" s="16" t="s">
        <v>503</v>
      </c>
      <c r="G69" s="7" t="s">
        <v>504</v>
      </c>
      <c r="H69" s="17"/>
      <c r="I69" s="7" t="s">
        <v>513</v>
      </c>
      <c r="J69" s="7"/>
      <c r="K69" s="7" t="s">
        <v>506</v>
      </c>
      <c r="L69" s="7" t="s">
        <v>507</v>
      </c>
      <c r="M69" s="9" t="n">
        <v>329259</v>
      </c>
      <c r="N69" s="10" t="n">
        <v>428800</v>
      </c>
      <c r="O69" s="9" t="n">
        <v>126039</v>
      </c>
      <c r="P69" s="9" t="n">
        <v>119633</v>
      </c>
      <c r="Q69" s="9" t="n">
        <v>78087</v>
      </c>
      <c r="R69" s="11" t="n">
        <f aca="false">IF(AND(ISNUMBER(Q69),P69&gt;0),Q69/P69,"")</f>
        <v>0.652721239122984</v>
      </c>
      <c r="S69" s="9" t="n">
        <v>25057</v>
      </c>
      <c r="T69" s="11" t="n">
        <f aca="false">IF(AND(ISNUMBER(S69),Q69&gt;0),S69/Q69,"")</f>
        <v>0.320885678794165</v>
      </c>
      <c r="U69" s="11" t="n">
        <f aca="false">IF(AND(ISNUMBER(O69),O69&gt;0),104065/O69,"")</f>
        <v>0.825657137870024</v>
      </c>
      <c r="V69" s="7" t="n">
        <v>1959</v>
      </c>
      <c r="W69" s="10" t="n">
        <v>89667</v>
      </c>
      <c r="X69" s="12"/>
      <c r="Y69" s="12"/>
      <c r="Z69" s="7" t="s">
        <v>508</v>
      </c>
      <c r="AA69" s="7" t="s">
        <v>50</v>
      </c>
      <c r="AB69" s="7" t="s">
        <v>51</v>
      </c>
      <c r="AC69" s="7" t="s">
        <v>514</v>
      </c>
      <c r="AD69" s="7"/>
      <c r="AE69" s="7"/>
      <c r="AF69" s="7"/>
      <c r="AG69" s="7"/>
    </row>
    <row r="70" customFormat="false" ht="68.65" hidden="false" customHeight="false" outlineLevel="0" collapsed="false">
      <c r="A70" s="7" t="s">
        <v>498</v>
      </c>
      <c r="B70" s="7" t="s">
        <v>499</v>
      </c>
      <c r="C70" s="7" t="s">
        <v>515</v>
      </c>
      <c r="D70" s="7" t="s">
        <v>516</v>
      </c>
      <c r="E70" s="7" t="s">
        <v>517</v>
      </c>
      <c r="F70" s="16" t="s">
        <v>503</v>
      </c>
      <c r="G70" s="7" t="s">
        <v>518</v>
      </c>
      <c r="H70" s="17"/>
      <c r="I70" s="7" t="s">
        <v>519</v>
      </c>
      <c r="J70" s="7"/>
      <c r="K70" s="7" t="s">
        <v>506</v>
      </c>
      <c r="L70" s="7" t="s">
        <v>507</v>
      </c>
      <c r="M70" s="9" t="n">
        <v>570598</v>
      </c>
      <c r="N70" s="10" t="n">
        <v>353100</v>
      </c>
      <c r="O70" s="9" t="n">
        <v>248267</v>
      </c>
      <c r="P70" s="9" t="n">
        <v>230673</v>
      </c>
      <c r="Q70" s="9" t="n">
        <v>139620</v>
      </c>
      <c r="R70" s="11" t="n">
        <f aca="false">IF(AND(ISNUMBER(Q70),P70&gt;0),Q70/P70,"")</f>
        <v>0.605272398590212</v>
      </c>
      <c r="S70" s="9" t="n">
        <v>47564</v>
      </c>
      <c r="T70" s="11" t="n">
        <f aca="false">IF(AND(ISNUMBER(S70),Q70&gt;0),S70/Q70,"")</f>
        <v>0.340667526142387</v>
      </c>
      <c r="U70" s="11" t="n">
        <f aca="false">IF(AND(ISNUMBER(O70),O70&gt;0),193156/O70,"")</f>
        <v>0.778017215336714</v>
      </c>
      <c r="V70" s="7" t="n">
        <v>1964</v>
      </c>
      <c r="W70" s="10" t="n">
        <v>88197</v>
      </c>
      <c r="X70" s="12"/>
      <c r="Y70" s="12"/>
      <c r="Z70" s="7" t="s">
        <v>508</v>
      </c>
      <c r="AA70" s="7" t="s">
        <v>50</v>
      </c>
      <c r="AB70" s="7" t="s">
        <v>51</v>
      </c>
      <c r="AC70" s="7" t="s">
        <v>520</v>
      </c>
      <c r="AD70" s="7"/>
      <c r="AE70" s="7"/>
      <c r="AF70" s="7"/>
      <c r="AG70" s="7"/>
    </row>
    <row r="71" customFormat="false" ht="68.65" hidden="false" customHeight="false" outlineLevel="0" collapsed="false">
      <c r="A71" s="7" t="s">
        <v>498</v>
      </c>
      <c r="B71" s="7" t="s">
        <v>499</v>
      </c>
      <c r="C71" s="7" t="s">
        <v>521</v>
      </c>
      <c r="D71" s="7" t="s">
        <v>522</v>
      </c>
      <c r="E71" s="7" t="s">
        <v>523</v>
      </c>
      <c r="F71" s="16" t="s">
        <v>503</v>
      </c>
      <c r="G71" s="7" t="s">
        <v>518</v>
      </c>
      <c r="H71" s="17"/>
      <c r="I71" s="7" t="s">
        <v>524</v>
      </c>
      <c r="J71" s="7"/>
      <c r="K71" s="7" t="s">
        <v>506</v>
      </c>
      <c r="L71" s="7" t="s">
        <v>507</v>
      </c>
      <c r="M71" s="9" t="n">
        <v>454969</v>
      </c>
      <c r="N71" s="10" t="n">
        <v>317700</v>
      </c>
      <c r="O71" s="9" t="n">
        <v>192551</v>
      </c>
      <c r="P71" s="9" t="n">
        <v>180116</v>
      </c>
      <c r="Q71" s="9" t="n">
        <v>123476</v>
      </c>
      <c r="R71" s="11" t="n">
        <f aca="false">IF(AND(ISNUMBER(Q71),P71&gt;0),Q71/P71,"")</f>
        <v>0.685535987918897</v>
      </c>
      <c r="S71" s="9" t="n">
        <v>40206</v>
      </c>
      <c r="T71" s="11" t="n">
        <f aca="false">IF(AND(ISNUMBER(S71),Q71&gt;0),S71/Q71,"")</f>
        <v>0.325617933849493</v>
      </c>
      <c r="U71" s="11" t="n">
        <f aca="false">IF(AND(ISNUMBER(O71),O71&gt;0),161423/O71,"")</f>
        <v>0.838338933581233</v>
      </c>
      <c r="V71" s="7" t="n">
        <v>1969</v>
      </c>
      <c r="W71" s="10" t="n">
        <v>86191</v>
      </c>
      <c r="X71" s="12"/>
      <c r="Y71" s="12"/>
      <c r="Z71" s="7" t="s">
        <v>508</v>
      </c>
      <c r="AA71" s="7" t="s">
        <v>50</v>
      </c>
      <c r="AB71" s="7" t="s">
        <v>51</v>
      </c>
      <c r="AC71" s="7" t="s">
        <v>525</v>
      </c>
      <c r="AD71" s="7"/>
      <c r="AE71" s="7"/>
      <c r="AF71" s="7"/>
      <c r="AG71" s="7"/>
    </row>
    <row r="72" customFormat="false" ht="68.65" hidden="false" customHeight="false" outlineLevel="0" collapsed="false">
      <c r="A72" s="7" t="s">
        <v>498</v>
      </c>
      <c r="B72" s="7" t="s">
        <v>499</v>
      </c>
      <c r="C72" s="7" t="s">
        <v>526</v>
      </c>
      <c r="D72" s="7" t="s">
        <v>527</v>
      </c>
      <c r="E72" s="7" t="s">
        <v>528</v>
      </c>
      <c r="F72" s="16" t="s">
        <v>503</v>
      </c>
      <c r="G72" s="7" t="s">
        <v>529</v>
      </c>
      <c r="H72" s="17"/>
      <c r="I72" s="7" t="s">
        <v>530</v>
      </c>
      <c r="J72" s="7"/>
      <c r="K72" s="7" t="s">
        <v>506</v>
      </c>
      <c r="L72" s="7" t="s">
        <v>507</v>
      </c>
      <c r="M72" s="9" t="n">
        <v>175822</v>
      </c>
      <c r="N72" s="10" t="n">
        <v>379700</v>
      </c>
      <c r="O72" s="9" t="n">
        <v>82963</v>
      </c>
      <c r="P72" s="9" t="n">
        <v>74068</v>
      </c>
      <c r="Q72" s="9" t="n">
        <v>56136</v>
      </c>
      <c r="R72" s="11" t="n">
        <f aca="false">IF(AND(ISNUMBER(Q72),P72&gt;0),Q72/P72,"")</f>
        <v>0.757898147648107</v>
      </c>
      <c r="S72" s="9" t="n">
        <v>19380</v>
      </c>
      <c r="T72" s="11" t="n">
        <f aca="false">IF(AND(ISNUMBER(S72),Q72&gt;0),S72/Q72,"")</f>
        <v>0.345233005557931</v>
      </c>
      <c r="U72" s="11" t="n">
        <f aca="false">IF(AND(ISNUMBER(O72),O72&gt;0),71588/O72,"")</f>
        <v>0.862890686209515</v>
      </c>
      <c r="V72" s="7" t="n">
        <v>1972</v>
      </c>
      <c r="W72" s="10" t="n">
        <v>104428</v>
      </c>
      <c r="X72" s="12"/>
      <c r="Y72" s="12"/>
      <c r="Z72" s="7" t="s">
        <v>508</v>
      </c>
      <c r="AA72" s="7" t="s">
        <v>50</v>
      </c>
      <c r="AB72" s="7" t="s">
        <v>51</v>
      </c>
      <c r="AC72" s="7" t="s">
        <v>531</v>
      </c>
      <c r="AD72" s="7"/>
      <c r="AE72" s="7"/>
      <c r="AF72" s="7"/>
      <c r="AG72" s="7"/>
    </row>
    <row r="73" customFormat="false" ht="68.65" hidden="false" customHeight="false" outlineLevel="0" collapsed="false">
      <c r="A73" s="7" t="s">
        <v>498</v>
      </c>
      <c r="B73" s="7" t="s">
        <v>499</v>
      </c>
      <c r="C73" s="7" t="s">
        <v>532</v>
      </c>
      <c r="D73" s="7" t="s">
        <v>533</v>
      </c>
      <c r="E73" s="7" t="s">
        <v>534</v>
      </c>
      <c r="F73" s="16" t="s">
        <v>503</v>
      </c>
      <c r="G73" s="7" t="s">
        <v>535</v>
      </c>
      <c r="H73" s="17"/>
      <c r="I73" s="7" t="s">
        <v>536</v>
      </c>
      <c r="J73" s="7"/>
      <c r="K73" s="7" t="s">
        <v>506</v>
      </c>
      <c r="L73" s="7" t="s">
        <v>507</v>
      </c>
      <c r="M73" s="9" t="n">
        <v>279971</v>
      </c>
      <c r="N73" s="10" t="n">
        <v>323400</v>
      </c>
      <c r="O73" s="9" t="n">
        <v>126425</v>
      </c>
      <c r="P73" s="9" t="n">
        <v>115768</v>
      </c>
      <c r="Q73" s="9" t="n">
        <v>75341</v>
      </c>
      <c r="R73" s="11" t="n">
        <f aca="false">IF(AND(ISNUMBER(Q73),P73&gt;0),Q73/P73,"")</f>
        <v>0.650792965240827</v>
      </c>
      <c r="S73" s="9" t="n">
        <v>26497</v>
      </c>
      <c r="T73" s="11" t="n">
        <f aca="false">IF(AND(ISNUMBER(S73),Q73&gt;0),S73/Q73,"")</f>
        <v>0.351694296598134</v>
      </c>
      <c r="U73" s="11" t="n">
        <f aca="false">IF(AND(ISNUMBER(O73),O73&gt;0),103151/O73,"")</f>
        <v>0.815906664030057</v>
      </c>
      <c r="V73" s="7" t="n">
        <v>1969</v>
      </c>
      <c r="W73" s="10" t="n">
        <v>86586</v>
      </c>
      <c r="X73" s="12"/>
      <c r="Y73" s="12"/>
      <c r="Z73" s="7" t="s">
        <v>508</v>
      </c>
      <c r="AA73" s="7" t="s">
        <v>50</v>
      </c>
      <c r="AB73" s="7" t="s">
        <v>51</v>
      </c>
      <c r="AC73" s="7" t="s">
        <v>537</v>
      </c>
      <c r="AD73" s="7"/>
      <c r="AE73" s="7"/>
      <c r="AF73" s="7"/>
      <c r="AG73" s="7"/>
    </row>
    <row r="74" customFormat="false" ht="68.65" hidden="false" customHeight="false" outlineLevel="0" collapsed="false">
      <c r="A74" s="7" t="s">
        <v>498</v>
      </c>
      <c r="B74" s="7" t="s">
        <v>538</v>
      </c>
      <c r="C74" s="7" t="s">
        <v>539</v>
      </c>
      <c r="D74" s="7" t="s">
        <v>540</v>
      </c>
      <c r="E74" s="7" t="s">
        <v>541</v>
      </c>
      <c r="F74" s="16" t="s">
        <v>503</v>
      </c>
      <c r="G74" s="7" t="s">
        <v>542</v>
      </c>
      <c r="H74" s="17"/>
      <c r="I74" s="7" t="s">
        <v>543</v>
      </c>
      <c r="J74" s="7"/>
      <c r="K74" s="7" t="s">
        <v>506</v>
      </c>
      <c r="L74" s="7" t="s">
        <v>507</v>
      </c>
      <c r="M74" s="9" t="n">
        <v>977290</v>
      </c>
      <c r="N74" s="10" t="n">
        <v>323700</v>
      </c>
      <c r="O74" s="9" t="n">
        <v>416559</v>
      </c>
      <c r="P74" s="9" t="n">
        <v>391113</v>
      </c>
      <c r="Q74" s="9" t="n">
        <v>257054</v>
      </c>
      <c r="R74" s="11" t="n">
        <f aca="false">IF(AND(ISNUMBER(Q74),P74&gt;0),Q74/P74,"")</f>
        <v>0.65723716675232</v>
      </c>
      <c r="S74" s="9" t="n">
        <v>82211</v>
      </c>
      <c r="T74" s="11" t="n">
        <f aca="false">IF(AND(ISNUMBER(S74),Q74&gt;0),S74/Q74,"")</f>
        <v>0.319819960008403</v>
      </c>
      <c r="U74" s="11" t="n">
        <f aca="false">IF(AND(ISNUMBER(O74),O74&gt;0),327816/O74,"")</f>
        <v>0.786961750916437</v>
      </c>
      <c r="V74" s="7" t="n">
        <v>1966</v>
      </c>
      <c r="W74" s="10" t="n">
        <v>93394</v>
      </c>
      <c r="X74" s="12"/>
      <c r="Y74" s="12"/>
      <c r="Z74" s="7" t="s">
        <v>508</v>
      </c>
      <c r="AA74" s="7" t="s">
        <v>50</v>
      </c>
      <c r="AB74" s="7" t="s">
        <v>51</v>
      </c>
      <c r="AC74" s="7" t="s">
        <v>544</v>
      </c>
      <c r="AD74" s="7"/>
      <c r="AE74" s="7"/>
      <c r="AF74" s="7"/>
      <c r="AG74" s="7"/>
    </row>
    <row r="75" customFormat="false" ht="68.65" hidden="false" customHeight="false" outlineLevel="0" collapsed="false">
      <c r="A75" s="7" t="s">
        <v>498</v>
      </c>
      <c r="B75" s="7" t="s">
        <v>545</v>
      </c>
      <c r="C75" s="7" t="s">
        <v>546</v>
      </c>
      <c r="D75" s="7" t="s">
        <v>547</v>
      </c>
      <c r="E75" s="7" t="s">
        <v>548</v>
      </c>
      <c r="F75" s="16" t="s">
        <v>503</v>
      </c>
      <c r="G75" s="7" t="s">
        <v>549</v>
      </c>
      <c r="H75" s="17"/>
      <c r="I75" s="7" t="s">
        <v>211</v>
      </c>
      <c r="J75" s="7"/>
      <c r="K75" s="7" t="s">
        <v>506</v>
      </c>
      <c r="L75" s="7" t="s">
        <v>507</v>
      </c>
      <c r="M75" s="9" t="n">
        <v>113216</v>
      </c>
      <c r="N75" s="10" t="n">
        <v>335600</v>
      </c>
      <c r="O75" s="9" t="n">
        <v>55752</v>
      </c>
      <c r="P75" s="9" t="n">
        <v>47845</v>
      </c>
      <c r="Q75" s="9" t="n">
        <v>36503</v>
      </c>
      <c r="R75" s="11" t="n">
        <f aca="false">IF(AND(ISNUMBER(Q75),P75&gt;0),Q75/P75,"")</f>
        <v>0.762942836242032</v>
      </c>
      <c r="S75" s="9" t="n">
        <v>13006</v>
      </c>
      <c r="T75" s="11" t="n">
        <f aca="false">IF(AND(ISNUMBER(S75),Q75&gt;0),S75/Q75,"")</f>
        <v>0.356299482234337</v>
      </c>
      <c r="U75" s="11" t="n">
        <f aca="false">IF(AND(ISNUMBER(O75),O75&gt;0),51200/O75,"")</f>
        <v>0.918352704835701</v>
      </c>
      <c r="V75" s="7" t="n">
        <v>1967</v>
      </c>
      <c r="W75" s="10" t="n">
        <v>93551</v>
      </c>
      <c r="X75" s="12"/>
      <c r="Y75" s="12"/>
      <c r="Z75" s="7" t="s">
        <v>508</v>
      </c>
      <c r="AA75" s="7" t="s">
        <v>50</v>
      </c>
      <c r="AB75" s="7" t="s">
        <v>51</v>
      </c>
      <c r="AC75" s="7" t="s">
        <v>550</v>
      </c>
      <c r="AD75" s="7"/>
      <c r="AE75" s="7"/>
      <c r="AF75" s="7"/>
      <c r="AG75" s="7"/>
    </row>
    <row r="76" customFormat="false" ht="68.65" hidden="false" customHeight="false" outlineLevel="0" collapsed="false">
      <c r="A76" s="7" t="s">
        <v>498</v>
      </c>
      <c r="B76" s="7" t="s">
        <v>545</v>
      </c>
      <c r="C76" s="7" t="s">
        <v>551</v>
      </c>
      <c r="D76" s="7" t="s">
        <v>552</v>
      </c>
      <c r="E76" s="7" t="s">
        <v>553</v>
      </c>
      <c r="F76" s="16" t="s">
        <v>503</v>
      </c>
      <c r="G76" s="7" t="s">
        <v>554</v>
      </c>
      <c r="H76" s="17"/>
      <c r="I76" s="7" t="s">
        <v>211</v>
      </c>
      <c r="J76" s="7"/>
      <c r="K76" s="7" t="s">
        <v>506</v>
      </c>
      <c r="L76" s="7" t="s">
        <v>507</v>
      </c>
      <c r="M76" s="9" t="n">
        <v>96312</v>
      </c>
      <c r="N76" s="10" t="n">
        <v>307600</v>
      </c>
      <c r="O76" s="9" t="n">
        <v>41736</v>
      </c>
      <c r="P76" s="9" t="n">
        <v>39412</v>
      </c>
      <c r="Q76" s="9" t="n">
        <v>30453</v>
      </c>
      <c r="R76" s="11" t="n">
        <f aca="false">IF(AND(ISNUMBER(Q76),P76&gt;0),Q76/P76,"")</f>
        <v>0.77268344666599</v>
      </c>
      <c r="S76" s="9" t="n">
        <v>9092</v>
      </c>
      <c r="T76" s="11" t="n">
        <f aca="false">IF(AND(ISNUMBER(S76),Q76&gt;0),S76/Q76,"")</f>
        <v>0.298558434308607</v>
      </c>
      <c r="U76" s="11" t="n">
        <f aca="false">IF(AND(ISNUMBER(O76),O76&gt;0),37687/O76,"")</f>
        <v>0.902985432240751</v>
      </c>
      <c r="V76" s="7" t="n">
        <v>1973</v>
      </c>
      <c r="W76" s="10" t="n">
        <v>90589</v>
      </c>
      <c r="X76" s="12"/>
      <c r="Y76" s="12"/>
      <c r="Z76" s="7" t="s">
        <v>508</v>
      </c>
      <c r="AA76" s="7" t="s">
        <v>50</v>
      </c>
      <c r="AB76" s="7" t="s">
        <v>51</v>
      </c>
      <c r="AC76" s="7" t="s">
        <v>555</v>
      </c>
      <c r="AD76" s="7"/>
      <c r="AE76" s="7"/>
      <c r="AF76" s="7"/>
      <c r="AG76" s="7"/>
    </row>
    <row r="77" customFormat="false" ht="79.85" hidden="false" customHeight="false" outlineLevel="0" collapsed="false">
      <c r="A77" s="7" t="s">
        <v>498</v>
      </c>
      <c r="B77" s="7" t="s">
        <v>499</v>
      </c>
      <c r="C77" s="7" t="s">
        <v>556</v>
      </c>
      <c r="D77" s="7" t="s">
        <v>557</v>
      </c>
      <c r="E77" s="7"/>
      <c r="F77" s="7" t="s">
        <v>43</v>
      </c>
      <c r="G77" s="7" t="s">
        <v>558</v>
      </c>
      <c r="H77" s="13" t="s">
        <v>131</v>
      </c>
      <c r="I77" s="7" t="s">
        <v>559</v>
      </c>
      <c r="J77" s="7" t="s">
        <v>560</v>
      </c>
      <c r="K77" s="7" t="s">
        <v>133</v>
      </c>
      <c r="L77" s="7" t="s">
        <v>561</v>
      </c>
      <c r="M77" s="9"/>
      <c r="N77" s="10"/>
      <c r="O77" s="9"/>
      <c r="P77" s="9"/>
      <c r="Q77" s="9"/>
      <c r="R77" s="11"/>
      <c r="S77" s="9"/>
      <c r="T77" s="11"/>
      <c r="U77" s="11"/>
      <c r="V77" s="7"/>
      <c r="W77" s="10"/>
      <c r="X77" s="12"/>
      <c r="Y77" s="12"/>
      <c r="Z77" s="7" t="s">
        <v>562</v>
      </c>
      <c r="AA77" s="7"/>
      <c r="AB77" s="7"/>
      <c r="AC77" s="7"/>
      <c r="AD77" s="7"/>
      <c r="AE77" s="7" t="s">
        <v>563</v>
      </c>
      <c r="AF77" s="7" t="s">
        <v>564</v>
      </c>
      <c r="AG77" s="7" t="s">
        <v>565</v>
      </c>
    </row>
    <row r="78" customFormat="false" ht="79.85" hidden="false" customHeight="false" outlineLevel="0" collapsed="false">
      <c r="A78" s="7" t="s">
        <v>498</v>
      </c>
      <c r="B78" s="7" t="s">
        <v>499</v>
      </c>
      <c r="C78" s="7" t="s">
        <v>566</v>
      </c>
      <c r="D78" s="7" t="s">
        <v>567</v>
      </c>
      <c r="E78" s="7"/>
      <c r="F78" s="7" t="s">
        <v>43</v>
      </c>
      <c r="G78" s="7" t="s">
        <v>568</v>
      </c>
      <c r="H78" s="14" t="s">
        <v>171</v>
      </c>
      <c r="I78" s="7" t="s">
        <v>569</v>
      </c>
      <c r="J78" s="7" t="s">
        <v>173</v>
      </c>
      <c r="K78" s="7" t="s">
        <v>133</v>
      </c>
      <c r="L78" s="7" t="s">
        <v>174</v>
      </c>
      <c r="M78" s="9"/>
      <c r="N78" s="10"/>
      <c r="O78" s="9"/>
      <c r="P78" s="9"/>
      <c r="Q78" s="9"/>
      <c r="R78" s="11"/>
      <c r="S78" s="9"/>
      <c r="T78" s="11"/>
      <c r="U78" s="11"/>
      <c r="V78" s="7"/>
      <c r="W78" s="10"/>
      <c r="X78" s="12"/>
      <c r="Y78" s="12"/>
      <c r="Z78" s="7" t="s">
        <v>562</v>
      </c>
      <c r="AA78" s="7"/>
      <c r="AB78" s="7"/>
      <c r="AC78" s="7"/>
      <c r="AD78" s="7"/>
      <c r="AE78" s="7" t="s">
        <v>570</v>
      </c>
      <c r="AF78" s="7" t="s">
        <v>564</v>
      </c>
      <c r="AG78" s="7" t="s">
        <v>571</v>
      </c>
    </row>
    <row r="79" customFormat="false" ht="79.85" hidden="false" customHeight="false" outlineLevel="0" collapsed="false">
      <c r="A79" s="7" t="s">
        <v>498</v>
      </c>
      <c r="B79" s="7" t="s">
        <v>499</v>
      </c>
      <c r="C79" s="7" t="s">
        <v>297</v>
      </c>
      <c r="D79" s="7" t="s">
        <v>572</v>
      </c>
      <c r="E79" s="7"/>
      <c r="F79" s="7" t="s">
        <v>43</v>
      </c>
      <c r="G79" s="7" t="s">
        <v>573</v>
      </c>
      <c r="H79" s="14" t="s">
        <v>171</v>
      </c>
      <c r="I79" s="7" t="s">
        <v>530</v>
      </c>
      <c r="J79" s="7" t="s">
        <v>173</v>
      </c>
      <c r="K79" s="7" t="s">
        <v>133</v>
      </c>
      <c r="L79" s="7" t="s">
        <v>174</v>
      </c>
      <c r="M79" s="9"/>
      <c r="N79" s="10"/>
      <c r="O79" s="9"/>
      <c r="P79" s="9"/>
      <c r="Q79" s="9"/>
      <c r="R79" s="11"/>
      <c r="S79" s="9"/>
      <c r="T79" s="11"/>
      <c r="U79" s="11"/>
      <c r="V79" s="7"/>
      <c r="W79" s="10"/>
      <c r="X79" s="12"/>
      <c r="Y79" s="12"/>
      <c r="Z79" s="7" t="s">
        <v>562</v>
      </c>
      <c r="AA79" s="7"/>
      <c r="AB79" s="7"/>
      <c r="AC79" s="7"/>
      <c r="AD79" s="7"/>
      <c r="AE79" s="7" t="s">
        <v>574</v>
      </c>
      <c r="AF79" s="7" t="s">
        <v>564</v>
      </c>
      <c r="AG79" s="7" t="s">
        <v>575</v>
      </c>
    </row>
    <row r="80" customFormat="false" ht="79.85" hidden="false" customHeight="false" outlineLevel="0" collapsed="false">
      <c r="A80" s="7" t="s">
        <v>498</v>
      </c>
      <c r="B80" s="7" t="s">
        <v>499</v>
      </c>
      <c r="C80" s="7" t="s">
        <v>576</v>
      </c>
      <c r="D80" s="7" t="s">
        <v>577</v>
      </c>
      <c r="E80" s="7"/>
      <c r="F80" s="7" t="s">
        <v>43</v>
      </c>
      <c r="G80" s="7" t="s">
        <v>578</v>
      </c>
      <c r="H80" s="14" t="s">
        <v>171</v>
      </c>
      <c r="I80" s="7" t="s">
        <v>536</v>
      </c>
      <c r="J80" s="7" t="s">
        <v>173</v>
      </c>
      <c r="K80" s="7" t="s">
        <v>133</v>
      </c>
      <c r="L80" s="7" t="s">
        <v>174</v>
      </c>
      <c r="M80" s="9"/>
      <c r="N80" s="10"/>
      <c r="O80" s="9"/>
      <c r="P80" s="9"/>
      <c r="Q80" s="9"/>
      <c r="R80" s="11"/>
      <c r="S80" s="9"/>
      <c r="T80" s="11"/>
      <c r="U80" s="11"/>
      <c r="V80" s="7"/>
      <c r="W80" s="10"/>
      <c r="X80" s="12"/>
      <c r="Y80" s="12"/>
      <c r="Z80" s="7" t="s">
        <v>562</v>
      </c>
      <c r="AA80" s="7"/>
      <c r="AB80" s="7"/>
      <c r="AC80" s="7"/>
      <c r="AD80" s="7"/>
      <c r="AE80" s="7" t="s">
        <v>579</v>
      </c>
      <c r="AF80" s="7" t="s">
        <v>564</v>
      </c>
      <c r="AG80" s="7" t="s">
        <v>580</v>
      </c>
    </row>
    <row r="81" customFormat="false" ht="79.85" hidden="false" customHeight="false" outlineLevel="0" collapsed="false">
      <c r="A81" s="7" t="s">
        <v>498</v>
      </c>
      <c r="B81" s="7" t="s">
        <v>538</v>
      </c>
      <c r="C81" s="7" t="s">
        <v>581</v>
      </c>
      <c r="D81" s="7" t="s">
        <v>582</v>
      </c>
      <c r="E81" s="7"/>
      <c r="F81" s="7" t="s">
        <v>43</v>
      </c>
      <c r="G81" s="7" t="s">
        <v>583</v>
      </c>
      <c r="H81" s="14" t="s">
        <v>171</v>
      </c>
      <c r="I81" s="7" t="s">
        <v>543</v>
      </c>
      <c r="J81" s="7" t="s">
        <v>173</v>
      </c>
      <c r="K81" s="7" t="s">
        <v>133</v>
      </c>
      <c r="L81" s="7" t="s">
        <v>174</v>
      </c>
      <c r="M81" s="9"/>
      <c r="N81" s="10"/>
      <c r="O81" s="9"/>
      <c r="P81" s="9"/>
      <c r="Q81" s="9"/>
      <c r="R81" s="11"/>
      <c r="S81" s="9"/>
      <c r="T81" s="11"/>
      <c r="U81" s="11"/>
      <c r="V81" s="7"/>
      <c r="W81" s="10"/>
      <c r="X81" s="12"/>
      <c r="Y81" s="12"/>
      <c r="Z81" s="7" t="s">
        <v>562</v>
      </c>
      <c r="AA81" s="7"/>
      <c r="AB81" s="7"/>
      <c r="AC81" s="7"/>
      <c r="AD81" s="7"/>
      <c r="AE81" s="7" t="s">
        <v>584</v>
      </c>
      <c r="AF81" s="7" t="s">
        <v>564</v>
      </c>
      <c r="AG81" s="7" t="s">
        <v>585</v>
      </c>
    </row>
    <row r="82" customFormat="false" ht="79.85" hidden="false" customHeight="false" outlineLevel="0" collapsed="false">
      <c r="A82" s="7" t="s">
        <v>498</v>
      </c>
      <c r="B82" s="7" t="s">
        <v>545</v>
      </c>
      <c r="C82" s="7" t="s">
        <v>586</v>
      </c>
      <c r="D82" s="7" t="s">
        <v>587</v>
      </c>
      <c r="E82" s="7"/>
      <c r="F82" s="7" t="s">
        <v>43</v>
      </c>
      <c r="G82" s="7" t="s">
        <v>588</v>
      </c>
      <c r="H82" s="15" t="s">
        <v>202</v>
      </c>
      <c r="I82" s="7" t="s">
        <v>211</v>
      </c>
      <c r="J82" s="7" t="s">
        <v>204</v>
      </c>
      <c r="K82" s="7" t="s">
        <v>205</v>
      </c>
      <c r="L82" s="7" t="s">
        <v>206</v>
      </c>
      <c r="M82" s="9"/>
      <c r="N82" s="10"/>
      <c r="O82" s="9"/>
      <c r="P82" s="9"/>
      <c r="Q82" s="9"/>
      <c r="R82" s="11"/>
      <c r="S82" s="9"/>
      <c r="T82" s="11"/>
      <c r="U82" s="11"/>
      <c r="V82" s="7"/>
      <c r="W82" s="10"/>
      <c r="X82" s="12"/>
      <c r="Y82" s="12"/>
      <c r="Z82" s="7" t="s">
        <v>562</v>
      </c>
      <c r="AA82" s="7"/>
      <c r="AB82" s="7"/>
      <c r="AC82" s="7"/>
      <c r="AD82" s="7"/>
      <c r="AE82" s="7"/>
      <c r="AF82" s="7" t="s">
        <v>564</v>
      </c>
      <c r="AG82" s="7"/>
    </row>
    <row r="83" customFormat="false" ht="79.85" hidden="false" customHeight="false" outlineLevel="0" collapsed="false">
      <c r="A83" s="7" t="s">
        <v>498</v>
      </c>
      <c r="B83" s="7" t="s">
        <v>545</v>
      </c>
      <c r="C83" s="7" t="s">
        <v>589</v>
      </c>
      <c r="D83" s="7" t="s">
        <v>590</v>
      </c>
      <c r="E83" s="7"/>
      <c r="F83" s="7" t="s">
        <v>43</v>
      </c>
      <c r="G83" s="7" t="s">
        <v>591</v>
      </c>
      <c r="H83" s="15" t="s">
        <v>202</v>
      </c>
      <c r="I83" s="7" t="s">
        <v>211</v>
      </c>
      <c r="J83" s="7" t="s">
        <v>204</v>
      </c>
      <c r="K83" s="7" t="s">
        <v>205</v>
      </c>
      <c r="L83" s="7" t="s">
        <v>206</v>
      </c>
      <c r="M83" s="9"/>
      <c r="N83" s="10"/>
      <c r="O83" s="9"/>
      <c r="P83" s="9"/>
      <c r="Q83" s="9"/>
      <c r="R83" s="11"/>
      <c r="S83" s="9"/>
      <c r="T83" s="11"/>
      <c r="U83" s="11"/>
      <c r="V83" s="7"/>
      <c r="W83" s="10"/>
      <c r="X83" s="12"/>
      <c r="Y83" s="12"/>
      <c r="Z83" s="7" t="s">
        <v>562</v>
      </c>
      <c r="AA83" s="7"/>
      <c r="AB83" s="7"/>
      <c r="AC83" s="7"/>
      <c r="AD83" s="7"/>
      <c r="AE83" s="7"/>
      <c r="AF83" s="7" t="s">
        <v>564</v>
      </c>
      <c r="AG83" s="7"/>
    </row>
    <row r="84" customFormat="false" ht="79.85" hidden="false" customHeight="false" outlineLevel="0" collapsed="false">
      <c r="A84" s="7" t="s">
        <v>498</v>
      </c>
      <c r="B84" s="7" t="s">
        <v>545</v>
      </c>
      <c r="C84" s="7" t="s">
        <v>592</v>
      </c>
      <c r="D84" s="7" t="s">
        <v>593</v>
      </c>
      <c r="E84" s="7"/>
      <c r="F84" s="7" t="s">
        <v>43</v>
      </c>
      <c r="G84" s="7" t="s">
        <v>594</v>
      </c>
      <c r="H84" s="15" t="s">
        <v>202</v>
      </c>
      <c r="I84" s="7" t="s">
        <v>211</v>
      </c>
      <c r="J84" s="7" t="s">
        <v>204</v>
      </c>
      <c r="K84" s="7" t="s">
        <v>205</v>
      </c>
      <c r="L84" s="7" t="s">
        <v>206</v>
      </c>
      <c r="M84" s="9"/>
      <c r="N84" s="10"/>
      <c r="O84" s="9"/>
      <c r="P84" s="9"/>
      <c r="Q84" s="9"/>
      <c r="R84" s="11"/>
      <c r="S84" s="9"/>
      <c r="T84" s="11"/>
      <c r="U84" s="11"/>
      <c r="V84" s="7"/>
      <c r="W84" s="10"/>
      <c r="X84" s="12"/>
      <c r="Y84" s="12"/>
      <c r="Z84" s="7" t="s">
        <v>562</v>
      </c>
      <c r="AA84" s="7"/>
      <c r="AB84" s="7"/>
      <c r="AC84" s="7"/>
      <c r="AD84" s="7"/>
      <c r="AE84" s="7"/>
      <c r="AF84" s="7" t="s">
        <v>564</v>
      </c>
      <c r="AG84" s="7"/>
    </row>
  </sheetData>
  <autoFilter ref="A2:AG84"/>
  <mergeCells count="5">
    <mergeCell ref="A1:G1"/>
    <mergeCell ref="H1:L1"/>
    <mergeCell ref="M1:Y1"/>
    <mergeCell ref="Z1:AC1"/>
    <mergeCell ref="AD1:A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7" min="3" style="0" width="10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8" t="s">
        <v>595</v>
      </c>
      <c r="B1" s="18" t="s">
        <v>596</v>
      </c>
      <c r="C1" s="18" t="s">
        <v>46</v>
      </c>
      <c r="D1" s="18" t="s">
        <v>255</v>
      </c>
      <c r="E1" s="18" t="s">
        <v>395</v>
      </c>
      <c r="F1" s="18" t="s">
        <v>560</v>
      </c>
      <c r="G1" s="18" t="s">
        <v>173</v>
      </c>
      <c r="H1" s="18" t="s">
        <v>204</v>
      </c>
    </row>
    <row r="2" customFormat="false" ht="15" hidden="false" customHeight="false" outlineLevel="0" collapsed="false">
      <c r="A2" s="19" t="s">
        <v>44</v>
      </c>
      <c r="B2" s="19" t="n">
        <f aca="false">COUNTIFS(Inventory!$H$3:$H$200,A2,Inventory!$F$3:$F$200,"page")</f>
        <v>9</v>
      </c>
      <c r="C2" s="19" t="n">
        <f aca="false">COUNTIFS(Inventory!$H$3:$H$200,$A2,Inventory!$J$3:$J$200,C$1,Inventory!$F$3:$F$200,"page")</f>
        <v>9</v>
      </c>
      <c r="D2" s="19" t="n">
        <f aca="false">COUNTIFS(Inventory!$H$3:$H$200,$A2,Inventory!$J$3:$J$200,D$1,Inventory!$F$3:$F$200,"page")</f>
        <v>0</v>
      </c>
      <c r="E2" s="19" t="n">
        <f aca="false">COUNTIFS(Inventory!$H$3:$H$200,$A2,Inventory!$J$3:$J$200,E$1,Inventory!$F$3:$F$200,"page")</f>
        <v>0</v>
      </c>
      <c r="F2" s="19" t="n">
        <f aca="false">COUNTIFS(Inventory!$H$3:$H$200,$A2,Inventory!$J$3:$J$200,F$1,Inventory!$F$3:$F$200,"page")</f>
        <v>0</v>
      </c>
      <c r="G2" s="19" t="n">
        <f aca="false">COUNTIFS(Inventory!$H$3:$H$200,$A2,Inventory!$J$3:$J$200,G$1,Inventory!$F$3:$F$200,"page")</f>
        <v>0</v>
      </c>
      <c r="H2" s="19" t="n">
        <f aca="false">COUNTIFS(Inventory!$H$3:$H$200,$A2,Inventory!$J$3:$J$200,H$1,Inventory!$F$3:$F$200,"page")</f>
        <v>0</v>
      </c>
    </row>
    <row r="3" customFormat="false" ht="15" hidden="false" customHeight="false" outlineLevel="0" collapsed="false">
      <c r="A3" s="19" t="s">
        <v>131</v>
      </c>
      <c r="B3" s="19" t="n">
        <f aca="false">COUNTIFS(Inventory!$H$3:$H$200,A3,Inventory!$F$3:$F$200,"page")</f>
        <v>22</v>
      </c>
      <c r="C3" s="19" t="n">
        <f aca="false">COUNTIFS(Inventory!$H$3:$H$200,$A3,Inventory!$J$3:$J$200,C$1,Inventory!$F$3:$F$200,"page")</f>
        <v>5</v>
      </c>
      <c r="D3" s="19" t="n">
        <f aca="false">COUNTIFS(Inventory!$H$3:$H$200,$A3,Inventory!$J$3:$J$200,D$1,Inventory!$F$3:$F$200,"page")</f>
        <v>8</v>
      </c>
      <c r="E3" s="19" t="n">
        <f aca="false">COUNTIFS(Inventory!$H$3:$H$200,$A3,Inventory!$J$3:$J$200,E$1,Inventory!$F$3:$F$200,"page")</f>
        <v>8</v>
      </c>
      <c r="F3" s="19" t="n">
        <f aca="false">COUNTIFS(Inventory!$H$3:$H$200,$A3,Inventory!$J$3:$J$200,F$1,Inventory!$F$3:$F$200,"page")</f>
        <v>1</v>
      </c>
      <c r="G3" s="19" t="n">
        <f aca="false">COUNTIFS(Inventory!$H$3:$H$200,$A3,Inventory!$J$3:$J$200,G$1,Inventory!$F$3:$F$200,"page")</f>
        <v>0</v>
      </c>
      <c r="H3" s="19" t="n">
        <f aca="false">COUNTIFS(Inventory!$H$3:$H$200,$A3,Inventory!$J$3:$J$200,H$1,Inventory!$F$3:$F$200,"page")</f>
        <v>0</v>
      </c>
    </row>
    <row r="4" customFormat="false" ht="15" hidden="false" customHeight="false" outlineLevel="0" collapsed="false">
      <c r="A4" s="19" t="s">
        <v>171</v>
      </c>
      <c r="B4" s="19" t="n">
        <f aca="false">COUNTIFS(Inventory!$H$3:$H$200,A4,Inventory!$F$3:$F$200,"page")</f>
        <v>19</v>
      </c>
      <c r="C4" s="19" t="n">
        <f aca="false">COUNTIFS(Inventory!$H$3:$H$200,$A4,Inventory!$J$3:$J$200,C$1,Inventory!$F$3:$F$200,"page")</f>
        <v>0</v>
      </c>
      <c r="D4" s="19" t="n">
        <f aca="false">COUNTIFS(Inventory!$H$3:$H$200,$A4,Inventory!$J$3:$J$200,D$1,Inventory!$F$3:$F$200,"page")</f>
        <v>0</v>
      </c>
      <c r="E4" s="19" t="n">
        <f aca="false">COUNTIFS(Inventory!$H$3:$H$200,$A4,Inventory!$J$3:$J$200,E$1,Inventory!$F$3:$F$200,"page")</f>
        <v>0</v>
      </c>
      <c r="F4" s="19" t="n">
        <f aca="false">COUNTIFS(Inventory!$H$3:$H$200,$A4,Inventory!$J$3:$J$200,F$1,Inventory!$F$3:$F$200,"page")</f>
        <v>0</v>
      </c>
      <c r="G4" s="19" t="n">
        <f aca="false">COUNTIFS(Inventory!$H$3:$H$200,$A4,Inventory!$J$3:$J$200,G$1,Inventory!$F$3:$F$200,"page")</f>
        <v>19</v>
      </c>
      <c r="H4" s="19" t="n">
        <f aca="false">COUNTIFS(Inventory!$H$3:$H$200,$A4,Inventory!$J$3:$J$200,H$1,Inventory!$F$3:$F$200,"page")</f>
        <v>0</v>
      </c>
    </row>
    <row r="5" customFormat="false" ht="15" hidden="false" customHeight="false" outlineLevel="0" collapsed="false">
      <c r="A5" s="19" t="s">
        <v>202</v>
      </c>
      <c r="B5" s="19" t="n">
        <f aca="false">COUNTIFS(Inventory!$H$3:$H$200,A5,Inventory!$F$3:$F$200,"page")</f>
        <v>23</v>
      </c>
      <c r="C5" s="19" t="n">
        <f aca="false">COUNTIFS(Inventory!$H$3:$H$200,$A5,Inventory!$J$3:$J$200,C$1,Inventory!$F$3:$F$200,"page")</f>
        <v>0</v>
      </c>
      <c r="D5" s="19" t="n">
        <f aca="false">COUNTIFS(Inventory!$H$3:$H$200,$A5,Inventory!$J$3:$J$200,D$1,Inventory!$F$3:$F$200,"page")</f>
        <v>0</v>
      </c>
      <c r="E5" s="19" t="n">
        <f aca="false">COUNTIFS(Inventory!$H$3:$H$200,$A5,Inventory!$J$3:$J$200,E$1,Inventory!$F$3:$F$200,"page")</f>
        <v>0</v>
      </c>
      <c r="F5" s="19" t="n">
        <f aca="false">COUNTIFS(Inventory!$H$3:$H$200,$A5,Inventory!$J$3:$J$200,F$1,Inventory!$F$3:$F$200,"page")</f>
        <v>0</v>
      </c>
      <c r="G5" s="19" t="n">
        <f aca="false">COUNTIFS(Inventory!$H$3:$H$200,$A5,Inventory!$J$3:$J$200,G$1,Inventory!$F$3:$F$200,"page")</f>
        <v>0</v>
      </c>
      <c r="H5" s="19" t="n">
        <f aca="false">COUNTIFS(Inventory!$H$3:$H$200,$A5,Inventory!$J$3:$J$200,H$1,Inventory!$F$3:$F$200,"page")</f>
        <v>23</v>
      </c>
    </row>
    <row r="6" customFormat="false" ht="15" hidden="false" customHeight="false" outlineLevel="0" collapsed="false">
      <c r="A6" s="19" t="s">
        <v>597</v>
      </c>
      <c r="B6" s="19" t="n">
        <f aca="false">SUM(B2:B5)</f>
        <v>73</v>
      </c>
      <c r="C6" s="19" t="n">
        <f aca="false">SUM(C2:C5)</f>
        <v>14</v>
      </c>
      <c r="D6" s="19" t="n">
        <f aca="false">SUM(D2:D5)</f>
        <v>8</v>
      </c>
      <c r="E6" s="19" t="n">
        <f aca="false">SUM(E2:E5)</f>
        <v>8</v>
      </c>
      <c r="F6" s="19" t="n">
        <f aca="false">SUM(F2:F5)</f>
        <v>1</v>
      </c>
      <c r="G6" s="19" t="n">
        <f aca="false">SUM(G2:G5)</f>
        <v>19</v>
      </c>
      <c r="H6" s="19" t="n">
        <f aca="false">SUM(H2:H5)</f>
        <v>23</v>
      </c>
    </row>
    <row r="7" customFormat="false" ht="15" hidden="false" customHeight="false" outlineLevel="0" collapsed="false">
      <c r="A7" s="19" t="s">
        <v>598</v>
      </c>
      <c r="B7" s="19" t="n">
        <f aca="false">COUNTIF(Inventory!$F$3:$F$200,"statistical")</f>
        <v>9</v>
      </c>
      <c r="C7" s="19"/>
      <c r="D7" s="19"/>
      <c r="E7" s="19"/>
      <c r="F7" s="19"/>
      <c r="G7" s="19"/>
      <c r="H7" s="19"/>
    </row>
    <row r="8" customFormat="false" ht="15" hidden="false" customHeight="false" outlineLevel="0" collapsed="false">
      <c r="A8" s="19"/>
      <c r="B8" s="19"/>
      <c r="C8" s="19"/>
      <c r="D8" s="19"/>
      <c r="E8" s="19"/>
      <c r="F8" s="19"/>
      <c r="G8" s="19"/>
      <c r="H8" s="19"/>
    </row>
    <row r="9" customFormat="false" ht="15" hidden="false" customHeight="false" outlineLevel="0" collapsed="false">
      <c r="A9" s="18" t="s">
        <v>5</v>
      </c>
      <c r="B9" s="18" t="s">
        <v>599</v>
      </c>
      <c r="C9" s="18" t="s">
        <v>131</v>
      </c>
      <c r="D9" s="18" t="s">
        <v>171</v>
      </c>
      <c r="E9" s="18" t="s">
        <v>44</v>
      </c>
      <c r="F9" s="18" t="s">
        <v>600</v>
      </c>
      <c r="G9" s="18"/>
      <c r="H9" s="18"/>
    </row>
    <row r="10" customFormat="false" ht="15" hidden="false" customHeight="false" outlineLevel="0" collapsed="false">
      <c r="A10" s="19" t="s">
        <v>38</v>
      </c>
      <c r="B10" s="19" t="n">
        <f aca="false">COUNTIFS(Inventory!$A$3:$A$200,A10,Inventory!$F$3:$F$200,"page")</f>
        <v>28</v>
      </c>
      <c r="C10" s="19" t="n">
        <f aca="false">COUNTIFS(Inventory!$A$3:$A$200,A10,Inventory!$H$3:$H$200,"Tier 1")</f>
        <v>5</v>
      </c>
      <c r="D10" s="19" t="n">
        <f aca="false">COUNTIFS(Inventory!$A$3:$A$200,A10,Inventory!$H$3:$H$200,"Tier 2")</f>
        <v>4</v>
      </c>
      <c r="E10" s="19" t="n">
        <f aca="false">COUNTIFS(Inventory!$A$3:$A$200,A10,Inventory!$H$3:$H$200,"Existing core")</f>
        <v>9</v>
      </c>
      <c r="F10" s="20" t="n">
        <f aca="false" t="array" ref="F10:F10">IFERROR(MEDIAN(IF((Inventory!$A$3:$A$200=A10)*(Inventory!$F$3:$F$200="page")*ISNUMBER(Inventory!$N$3:$N$200),Inventory!$N$3:$N$200)),"n/a (planning-region data only)")</f>
        <v>245850</v>
      </c>
      <c r="G10" s="19"/>
      <c r="H10" s="19"/>
    </row>
    <row r="11" customFormat="false" ht="15" hidden="false" customHeight="false" outlineLevel="0" collapsed="false">
      <c r="A11" s="19" t="s">
        <v>249</v>
      </c>
      <c r="B11" s="19" t="n">
        <f aca="false">COUNTIFS(Inventory!$A$3:$A$200,A11,Inventory!$F$3:$F$200,"page")</f>
        <v>21</v>
      </c>
      <c r="C11" s="19" t="n">
        <f aca="false">COUNTIFS(Inventory!$A$3:$A$200,A11,Inventory!$H$3:$H$200,"Tier 1")</f>
        <v>8</v>
      </c>
      <c r="D11" s="19" t="n">
        <f aca="false">COUNTIFS(Inventory!$A$3:$A$200,A11,Inventory!$H$3:$H$200,"Tier 2")</f>
        <v>7</v>
      </c>
      <c r="E11" s="19" t="n">
        <f aca="false">COUNTIFS(Inventory!$A$3:$A$200,A11,Inventory!$H$3:$H$200,"Existing core")</f>
        <v>0</v>
      </c>
      <c r="F11" s="20" t="n">
        <f aca="false" t="array" ref="F11:F11">IFERROR(MEDIAN(IF((Inventory!$A$3:$A$200=A11)*(Inventory!$F$3:$F$200="page")*ISNUMBER(Inventory!$N$3:$N$200),Inventory!$N$3:$N$200)),"n/a (planning-region data only)")</f>
        <v>434600</v>
      </c>
      <c r="G11" s="19"/>
      <c r="H11" s="19"/>
    </row>
    <row r="12" customFormat="false" ht="15" hidden="false" customHeight="false" outlineLevel="0" collapsed="false">
      <c r="A12" s="19" t="s">
        <v>389</v>
      </c>
      <c r="B12" s="19" t="n">
        <f aca="false">COUNTIFS(Inventory!$A$3:$A$200,A12,Inventory!$F$3:$F$200,"page")</f>
        <v>16</v>
      </c>
      <c r="C12" s="19" t="n">
        <f aca="false">COUNTIFS(Inventory!$A$3:$A$200,A12,Inventory!$H$3:$H$200,"Tier 1")</f>
        <v>8</v>
      </c>
      <c r="D12" s="19" t="n">
        <f aca="false">COUNTIFS(Inventory!$A$3:$A$200,A12,Inventory!$H$3:$H$200,"Tier 2")</f>
        <v>4</v>
      </c>
      <c r="E12" s="19" t="n">
        <f aca="false">COUNTIFS(Inventory!$A$3:$A$200,A12,Inventory!$H$3:$H$200,"Existing core")</f>
        <v>0</v>
      </c>
      <c r="F12" s="20" t="n">
        <f aca="false" t="array" ref="F12:F12">IFERROR(MEDIAN(IF((Inventory!$A$3:$A$200=A12)*(Inventory!$F$3:$F$200="page")*ISNUMBER(Inventory!$N$3:$N$200),Inventory!$N$3:$N$200)),"n/a (planning-region data only)")</f>
        <v>553950</v>
      </c>
      <c r="G12" s="19"/>
      <c r="H12" s="19"/>
    </row>
    <row r="13" customFormat="false" ht="15" hidden="false" customHeight="false" outlineLevel="0" collapsed="false">
      <c r="A13" s="19" t="s">
        <v>498</v>
      </c>
      <c r="B13" s="19" t="n">
        <f aca="false">COUNTIFS(Inventory!$A$3:$A$200,A13,Inventory!$F$3:$F$200,"page")</f>
        <v>8</v>
      </c>
      <c r="C13" s="19" t="n">
        <f aca="false">COUNTIFS(Inventory!$A$3:$A$200,A13,Inventory!$H$3:$H$200,"Tier 1")</f>
        <v>1</v>
      </c>
      <c r="D13" s="19" t="n">
        <f aca="false">COUNTIFS(Inventory!$A$3:$A$200,A13,Inventory!$H$3:$H$200,"Tier 2")</f>
        <v>4</v>
      </c>
      <c r="E13" s="19" t="n">
        <f aca="false">COUNTIFS(Inventory!$A$3:$A$200,A13,Inventory!$H$3:$H$200,"Existing core")</f>
        <v>0</v>
      </c>
      <c r="F13" s="20" t="str">
        <f aca="false" t="array" ref="F13:F13">IFERROR(MEDIAN(IF((Inventory!$A$3:$A$200=A13)*(Inventory!$F$3:$F$200="page")*ISNUMBER(Inventory!$N$3:$N$200),Inventory!$N$3:$N$200)),"n/a (planning-region data only)")</f>
        <v>n/a (planning-region data only)</v>
      </c>
      <c r="G13" s="19"/>
      <c r="H13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21" t="s">
        <v>601</v>
      </c>
      <c r="B1" s="21" t="s">
        <v>602</v>
      </c>
    </row>
    <row r="2" customFormat="false" ht="46.25" hidden="false" customHeight="false" outlineLevel="0" collapsed="false">
      <c r="A2" s="7" t="s">
        <v>10</v>
      </c>
      <c r="B2" s="7" t="s">
        <v>603</v>
      </c>
    </row>
    <row r="3" customFormat="false" ht="35.05" hidden="false" customHeight="false" outlineLevel="0" collapsed="false">
      <c r="A3" s="7" t="s">
        <v>12</v>
      </c>
      <c r="B3" s="7" t="s">
        <v>604</v>
      </c>
    </row>
    <row r="4" customFormat="false" ht="23.85" hidden="false" customHeight="false" outlineLevel="0" collapsed="false">
      <c r="A4" s="7" t="s">
        <v>14</v>
      </c>
      <c r="B4" s="7" t="s">
        <v>605</v>
      </c>
    </row>
    <row r="5" customFormat="false" ht="23.85" hidden="false" customHeight="false" outlineLevel="0" collapsed="false">
      <c r="A5" s="7" t="s">
        <v>606</v>
      </c>
      <c r="B5" s="7" t="s">
        <v>607</v>
      </c>
    </row>
    <row r="6" customFormat="false" ht="46.25" hidden="false" customHeight="false" outlineLevel="0" collapsed="false">
      <c r="A6" s="7" t="s">
        <v>608</v>
      </c>
      <c r="B6" s="7" t="s">
        <v>609</v>
      </c>
    </row>
    <row r="7" customFormat="false" ht="23.85" hidden="false" customHeight="false" outlineLevel="0" collapsed="false">
      <c r="A7" s="7" t="s">
        <v>610</v>
      </c>
      <c r="B7" s="7" t="s">
        <v>611</v>
      </c>
    </row>
    <row r="8" customFormat="false" ht="23.85" hidden="false" customHeight="false" outlineLevel="0" collapsed="false">
      <c r="A8" s="7" t="s">
        <v>25</v>
      </c>
      <c r="B8" s="7" t="s">
        <v>612</v>
      </c>
    </row>
    <row r="9" customFormat="false" ht="15" hidden="false" customHeight="false" outlineLevel="0" collapsed="false">
      <c r="A9" s="7" t="s">
        <v>24</v>
      </c>
      <c r="B9" s="7" t="s">
        <v>613</v>
      </c>
    </row>
    <row r="10" customFormat="false" ht="35.05" hidden="false" customHeight="false" outlineLevel="0" collapsed="false">
      <c r="A10" s="7" t="s">
        <v>614</v>
      </c>
      <c r="B10" s="7" t="s">
        <v>615</v>
      </c>
    </row>
    <row r="11" customFormat="false" ht="35.05" hidden="false" customHeight="false" outlineLevel="0" collapsed="false">
      <c r="A11" s="7" t="s">
        <v>616</v>
      </c>
      <c r="B11" s="7" t="s">
        <v>617</v>
      </c>
    </row>
    <row r="12" customFormat="false" ht="23.85" hidden="false" customHeight="false" outlineLevel="0" collapsed="false">
      <c r="A12" s="7" t="s">
        <v>618</v>
      </c>
      <c r="B12" s="7" t="s">
        <v>619</v>
      </c>
    </row>
    <row r="13" customFormat="false" ht="23.85" hidden="false" customHeight="false" outlineLevel="0" collapsed="false">
      <c r="A13" s="7" t="s">
        <v>620</v>
      </c>
      <c r="B13" s="7" t="s">
        <v>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2026-09-26T08:26:09Z</dcterms:created>
  <dc:creator>openpyxl</dc:creator>
  <dc:description/>
  <dc:language>en-US</dc:language>
  <cp:lastModifiedBy/>
  <dcterms:modified xsi:type="dcterms:W3CDTF">2026-09-26T08:26:09Z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